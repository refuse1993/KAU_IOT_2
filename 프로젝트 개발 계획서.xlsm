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refus\Documents\GitHub\KAU_IOT_2\"/>
    </mc:Choice>
  </mc:AlternateContent>
  <xr:revisionPtr revIDLastSave="0" documentId="10_ncr:100000_{014A4C03-2B9C-439E-9274-F0CD2D4100AD}" xr6:coauthVersionLast="31" xr6:coauthVersionMax="31" xr10:uidLastSave="{00000000-0000-0000-0000-000000000000}"/>
  <bookViews>
    <workbookView xWindow="0" yWindow="0" windowWidth="23040" windowHeight="8988"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Schedule!$M$3:$AB$37</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79017"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G5" i="2" l="1"/>
  <c r="AD6" i="2"/>
  <c r="AC7" i="2"/>
  <c r="AD8" i="2"/>
  <c r="AD9" i="2"/>
  <c r="AD10" i="2"/>
  <c r="AG10" i="2"/>
  <c r="AD11" i="2"/>
  <c r="AE12" i="2"/>
  <c r="AF13" i="2"/>
  <c r="AG14" i="2"/>
  <c r="AI16" i="2"/>
  <c r="AI17" i="2"/>
  <c r="AD18" i="2"/>
  <c r="AI18" i="2"/>
  <c r="AD19" i="2"/>
  <c r="AD20" i="2"/>
  <c r="AD21" i="2"/>
  <c r="AD22" i="2"/>
  <c r="AE23" i="2"/>
  <c r="AE24" i="2"/>
  <c r="AE25" i="2"/>
  <c r="AE26" i="2"/>
  <c r="AE27" i="2"/>
  <c r="AH27" i="2"/>
  <c r="AE28" i="2"/>
  <c r="AH28" i="2"/>
  <c r="AE29" i="2"/>
  <c r="AF30" i="2"/>
  <c r="AF31" i="2"/>
  <c r="AF32" i="2"/>
  <c r="AF33" i="2"/>
  <c r="AH34" i="2"/>
  <c r="AH35" i="2"/>
  <c r="AI36" i="2"/>
  <c r="AI37"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1" i="2"/>
  <c r="AB2" i="2"/>
  <c r="D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<sst xmlns="http://schemas.openxmlformats.org/spreadsheetml/2006/main" count="1555" uniqueCount="1190">
  <si>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</si>
  <si>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</si>
  <si>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</si>
  <si>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</si>
  <si>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</si>
  <si>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</si>
  <si>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</si>
  <si>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</si>
  <si>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</si>
  <si>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</si>
  <si>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</si>
  <si>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</si>
  <si>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</si>
  <si>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</si>
  <si>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</si>
  <si>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</si>
  <si>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</si>
  <si>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</si>
  <si>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</si>
  <si>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</si>
  <si>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</si>
  <si>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</si>
  <si>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</si>
  <si>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</si>
  <si>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</si>
  <si>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</si>
  <si>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</si>
  <si>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</si>
  <si>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</si>
  <si>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</si>
  <si>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</si>
  <si>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</si>
  <si>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</si>
  <si>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</si>
  <si>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</si>
  <si>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</si>
  <si>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</si>
  <si>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</si>
  <si>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</si>
  <si>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</si>
  <si>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</si>
  <si>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</si>
  <si>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</si>
  <si>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</si>
  <si>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</si>
  <si>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</si>
  <si>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</si>
  <si>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</si>
  <si>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</si>
  <si>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</si>
  <si>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</si>
  <si>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</si>
  <si>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</si>
  <si>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</si>
  <si>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</si>
  <si>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</si>
  <si>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</si>
  <si>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</si>
  <si>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</si>
  <si>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</si>
  <si>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</si>
  <si>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</si>
  <si>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</si>
  <si>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</si>
  <si>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</si>
  <si>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</si>
  <si>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</si>
  <si>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</si>
  <si>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</si>
  <si>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</si>
  <si>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</si>
  <si>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</si>
  <si>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</si>
  <si>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</si>
  <si>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</si>
  <si>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</si>
  <si>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</si>
  <si>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</si>
  <si>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</si>
  <si>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</si>
  <si>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</si>
  <si>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</si>
  <si>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</si>
  <si>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</si>
  <si>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</si>
  <si>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</si>
  <si>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</si>
  <si>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</si>
  <si>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</si>
  <si>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</si>
  <si>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</si>
  <si>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</si>
  <si>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</si>
  <si>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</si>
  <si>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</si>
  <si>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</si>
  <si>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</si>
  <si>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</si>
  <si>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</si>
  <si>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</si>
  <si>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</si>
  <si>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</si>
  <si>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</si>
  <si>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</si>
  <si>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</si>
  <si>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</si>
  <si>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</si>
  <si>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</si>
  <si>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</si>
  <si>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</si>
  <si>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</si>
  <si>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</si>
  <si>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</si>
  <si>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</si>
  <si>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</si>
  <si>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</si>
  <si>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</si>
  <si>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</si>
  <si>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</si>
  <si>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</si>
  <si>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</si>
  <si>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</si>
  <si>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</si>
  <si>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</si>
  <si>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</si>
  <si>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</si>
  <si>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</si>
  <si>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</si>
  <si>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</si>
  <si>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</si>
  <si>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</si>
  <si>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</si>
  <si>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</si>
  <si>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</si>
  <si>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</si>
  <si>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</si>
  <si>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</si>
  <si>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</si>
  <si>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</si>
  <si>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</si>
  <si>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</si>
  <si>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</si>
  <si>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</si>
  <si>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</si>
  <si>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</si>
  <si>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</si>
  <si>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</si>
  <si>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</si>
  <si>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</si>
  <si>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</si>
  <si>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</si>
  <si>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</si>
  <si>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</si>
  <si>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</si>
  <si>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</si>
  <si>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</si>
  <si>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</si>
  <si>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</si>
  <si>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</si>
  <si>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</si>
  <si>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</si>
  <si>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</si>
  <si>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</si>
  <si>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</si>
  <si>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</si>
  <si>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</si>
  <si>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</si>
  <si>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</si>
  <si>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</si>
  <si>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</si>
  <si>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</si>
  <si>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</si>
  <si>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</si>
  <si>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</si>
  <si>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</si>
  <si>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</si>
  <si>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</si>
  <si>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</si>
  <si>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</si>
  <si>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</si>
  <si>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</si>
  <si>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</si>
  <si>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</si>
  <si>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</si>
  <si>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</si>
  <si>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</si>
  <si>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</si>
  <si>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</si>
  <si>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</si>
  <si>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</si>
  <si>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</si>
  <si>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</si>
  <si>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</si>
  <si>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</si>
  <si>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</si>
  <si>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</si>
  <si>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</si>
  <si>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</si>
  <si>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</si>
  <si>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</si>
  <si>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</si>
  <si>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</si>
  <si>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</si>
  <si>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</si>
  <si>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</si>
  <si>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</si>
  <si>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</si>
  <si>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</si>
  <si>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</si>
  <si>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</si>
  <si>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</si>
  <si>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</si>
  <si>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</si>
  <si>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</si>
  <si>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</si>
  <si>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</si>
  <si>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</si>
  <si>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</si>
  <si>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</si>
  <si>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</si>
  <si>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</si>
  <si>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</si>
  <si>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</si>
  <si>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</si>
  <si>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</si>
  <si>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</si>
  <si>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</si>
  <si>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</si>
  <si>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</si>
  <si>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</si>
  <si>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</si>
  <si>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</si>
  <si>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</si>
  <si>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</si>
  <si>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</si>
  <si>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</si>
  <si>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</si>
  <si>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</si>
  <si>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</si>
  <si>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</si>
  <si>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</si>
  <si>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</si>
  <si>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</si>
  <si>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</si>
  <si>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</si>
  <si>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</si>
  <si>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</si>
  <si>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</si>
  <si>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</si>
  <si>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</si>
  <si>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</si>
  <si>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</si>
  <si>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</si>
  <si>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</si>
  <si>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</si>
  <si>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</si>
  <si>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</si>
  <si>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</si>
  <si>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</si>
  <si>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</si>
  <si>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</si>
  <si>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</si>
  <si>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</si>
  <si>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</si>
  <si>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</si>
  <si>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</si>
  <si>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</si>
  <si>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</si>
  <si>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</si>
  <si>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</si>
  <si>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</si>
  <si>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</si>
  <si>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</si>
  <si>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</si>
  <si>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</si>
  <si>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</si>
  <si>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</si>
  <si>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</si>
  <si>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</si>
  <si>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</si>
  <si>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</si>
  <si>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</si>
  <si>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</si>
  <si>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</si>
  <si>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</si>
  <si>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</si>
  <si>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</si>
  <si>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</si>
  <si>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</si>
  <si>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</si>
  <si>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</si>
  <si>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</si>
  <si>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</si>
  <si>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</si>
  <si>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</si>
  <si>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</si>
  <si>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</si>
  <si>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</si>
  <si>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</si>
  <si>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</si>
  <si>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</si>
  <si>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</si>
  <si>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</si>
  <si>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</si>
  <si>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</si>
  <si>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</si>
  <si>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</si>
  <si>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</si>
  <si>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</si>
  <si>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</si>
  <si>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</si>
  <si>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</si>
  <si>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</si>
  <si>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</si>
  <si>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</si>
  <si>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</si>
  <si>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</si>
  <si>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</si>
  <si>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</si>
  <si>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</si>
  <si>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</si>
  <si>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</si>
  <si>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</si>
  <si>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</si>
  <si>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</si>
  <si>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</si>
  <si>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</si>
  <si>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</si>
  <si>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</si>
  <si>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</si>
  <si>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</si>
  <si>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</si>
  <si>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</si>
  <si>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</si>
  <si>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</si>
  <si>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</si>
  <si>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</si>
  <si>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</si>
  <si>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</si>
  <si>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</si>
  <si>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</si>
  <si>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</si>
  <si>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</si>
  <si>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</si>
  <si>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</si>
  <si>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</si>
  <si>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</si>
  <si>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</si>
  <si>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</si>
  <si>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</si>
  <si>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</si>
  <si>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</si>
  <si>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</si>
  <si>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</si>
  <si>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</si>
  <si>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</si>
  <si>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</si>
  <si>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</si>
  <si>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</si>
  <si>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</si>
  <si>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</si>
  <si>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</si>
  <si>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</si>
  <si>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</si>
  <si>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</si>
  <si>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</si>
  <si>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</si>
  <si>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</si>
  <si>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</si>
  <si>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</si>
  <si>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</si>
  <si>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</si>
  <si>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</si>
  <si>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</si>
  <si>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</si>
  <si>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</si>
  <si>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</si>
  <si>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</si>
  <si>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</si>
  <si>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</si>
  <si>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</si>
  <si>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</si>
  <si>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</si>
  <si>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</si>
  <si>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</si>
  <si>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</si>
  <si>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</si>
  <si>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</si>
  <si>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</si>
  <si>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</si>
  <si>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</si>
  <si>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</si>
  <si>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</si>
  <si>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</si>
  <si>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</si>
  <si>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</si>
  <si>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</si>
  <si>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</si>
  <si>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</si>
  <si>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</si>
  <si>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</si>
  <si>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</si>
  <si>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</si>
  <si>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</si>
  <si>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</si>
  <si>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</si>
  <si>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</si>
  <si>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</si>
  <si>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</si>
  <si>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</si>
  <si>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</si>
  <si>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</si>
  <si>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</si>
  <si>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</si>
  <si>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</si>
  <si>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</si>
  <si>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</si>
  <si>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</si>
  <si>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</si>
  <si>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</si>
  <si>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</si>
  <si>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</si>
  <si>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</si>
  <si>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</si>
  <si>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</si>
  <si>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</si>
  <si>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</si>
  <si>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</si>
  <si>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</si>
  <si>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</si>
  <si>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</si>
  <si>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</si>
  <si>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</si>
  <si>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</si>
  <si>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</si>
  <si>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</si>
  <si>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</si>
  <si>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</si>
  <si>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</si>
  <si>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</si>
  <si>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</si>
  <si>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</si>
  <si>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</si>
  <si>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</si>
  <si>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</si>
  <si>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</si>
  <si>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</si>
  <si>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</si>
  <si>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</si>
  <si>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</si>
  <si>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</si>
  <si>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</si>
  <si>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</si>
  <si>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</si>
  <si>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</si>
  <si>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</si>
  <si>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</si>
  <si>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</si>
  <si>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</si>
  <si>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</si>
  <si>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</si>
  <si>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</si>
  <si>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</si>
  <si>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</si>
  <si>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</si>
  <si>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</si>
  <si>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</si>
  <si>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</si>
  <si>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</si>
  <si>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</si>
  <si>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</si>
  <si>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</si>
  <si>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</si>
  <si>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</si>
  <si>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</si>
  <si>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</si>
  <si>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</si>
  <si>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</si>
  <si>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</si>
  <si>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</si>
  <si>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</si>
  <si>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</si>
  <si>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</si>
  <si>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</si>
  <si>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</si>
  <si>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</si>
  <si>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</si>
  <si>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</si>
  <si>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</si>
  <si>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</si>
  <si>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</si>
  <si>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</si>
  <si>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</si>
  <si>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</si>
  <si>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</si>
  <si>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</si>
  <si>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</si>
  <si>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</si>
  <si>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</si>
  <si>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</si>
  <si>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</si>
  <si>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</si>
  <si>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</si>
  <si>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</si>
  <si>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</si>
  <si>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</si>
  <si>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</si>
  <si>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</si>
  <si>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</si>
  <si>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</si>
  <si>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</si>
  <si>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</si>
  <si>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</si>
  <si>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</si>
  <si>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</si>
  <si>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</si>
  <si>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</si>
  <si>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</si>
  <si>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</si>
  <si>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</si>
  <si>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</si>
  <si>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</si>
  <si>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</si>
  <si>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</si>
  <si>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</si>
  <si>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</si>
  <si>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</si>
  <si>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</si>
  <si>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</si>
  <si>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</si>
  <si>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</si>
  <si>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</si>
  <si>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</si>
  <si>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</si>
  <si>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</si>
  <si>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</si>
  <si>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</si>
  <si>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</si>
  <si>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</si>
  <si>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</si>
  <si>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</si>
  <si>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</si>
  <si>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</si>
  <si>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</si>
  <si>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</si>
  <si>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</si>
  <si>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</si>
  <si>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</si>
  <si>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</si>
  <si>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</si>
  <si>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</si>
  <si>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</si>
  <si>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</si>
  <si>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</si>
  <si>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</si>
  <si>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</si>
  <si>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</si>
  <si>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</si>
  <si>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</si>
  <si>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</si>
  <si>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</si>
  <si>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</si>
  <si>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</si>
  <si>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</si>
  <si>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</si>
  <si>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</si>
  <si>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</si>
  <si>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</si>
  <si>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</si>
  <si>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</si>
  <si>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</si>
  <si>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</si>
  <si>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</si>
  <si>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</si>
  <si>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</si>
  <si>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</si>
  <si>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</si>
  <si>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</si>
  <si>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</si>
  <si>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</si>
  <si>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</si>
  <si>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</si>
  <si>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</si>
  <si>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</si>
  <si>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</si>
  <si>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</si>
  <si>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</si>
  <si>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</si>
  <si>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</si>
  <si>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</si>
  <si>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</si>
  <si>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</si>
  <si>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</si>
  <si>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</si>
  <si>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</si>
  <si>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</si>
  <si>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</si>
  <si>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</si>
  <si>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</si>
  <si>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</si>
  <si>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</si>
  <si>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</si>
  <si>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</si>
  <si>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</si>
  <si>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</si>
  <si>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</si>
  <si>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</si>
  <si>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</si>
  <si>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</si>
  <si>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</si>
  <si>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</si>
  <si>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</si>
  <si>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</si>
  <si>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</si>
  <si>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</si>
  <si>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</si>
  <si>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</si>
  <si>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</si>
  <si>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</si>
  <si>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</si>
  <si>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</si>
  <si>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</si>
  <si>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</si>
  <si>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</si>
  <si>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</si>
  <si>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</si>
  <si>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</si>
  <si>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</si>
  <si>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</si>
  <si>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</si>
  <si>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</si>
  <si>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</si>
  <si>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</si>
  <si>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</si>
  <si>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</si>
  <si>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</si>
  <si>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</si>
  <si>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</si>
  <si>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</si>
  <si>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</si>
  <si>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</si>
  <si>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</si>
  <si>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</si>
  <si>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</si>
  <si>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</si>
  <si>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</si>
  <si>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</si>
  <si>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</si>
  <si>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</si>
  <si>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</si>
  <si>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</si>
  <si>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</si>
  <si>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</si>
  <si>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</si>
  <si>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</si>
  <si>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</si>
  <si>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</si>
  <si>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</si>
  <si>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</si>
  <si>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</si>
  <si>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</si>
  <si>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</si>
  <si>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</si>
  <si>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</si>
  <si>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</si>
  <si>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</si>
  <si>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</si>
  <si>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</si>
  <si>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</si>
  <si>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</si>
  <si>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</si>
  <si>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</si>
  <si>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</si>
  <si>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</si>
  <si>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</si>
  <si>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</si>
  <si>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</si>
  <si>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</si>
  <si>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</si>
  <si>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</si>
  <si>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</si>
  <si>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</si>
  <si>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</si>
  <si>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</si>
  <si>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</si>
  <si>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</si>
  <si>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</si>
  <si>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</si>
  <si>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</si>
  <si>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</si>
  <si>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</si>
  <si>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</si>
  <si>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</si>
  <si>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</si>
  <si>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</si>
  <si>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</si>
  <si>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</si>
  <si>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</si>
  <si>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</si>
  <si>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</si>
  <si>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</si>
  <si>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</si>
  <si>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</si>
  <si>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</si>
  <si>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</si>
  <si>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</si>
  <si>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</si>
  <si>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</si>
  <si>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</si>
  <si>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</si>
  <si>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</si>
  <si>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</si>
  <si>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</si>
  <si>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</si>
  <si>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</si>
  <si>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</si>
  <si>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</si>
  <si>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</si>
  <si>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</si>
  <si>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</si>
  <si>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</si>
  <si>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</si>
  <si>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</si>
  <si>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</si>
  <si>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</si>
  <si>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</si>
  <si>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</si>
  <si>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</si>
  <si>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</si>
  <si>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</si>
  <si>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</si>
  <si>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</si>
  <si>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</si>
  <si>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</si>
  <si>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</si>
  <si>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</si>
  <si>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</si>
  <si>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</si>
  <si>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</si>
  <si>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</si>
  <si>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</si>
  <si>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</si>
  <si>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</si>
  <si>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</si>
  <si>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</si>
  <si>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</si>
  <si>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</si>
  <si>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</si>
  <si>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</si>
  <si>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</si>
  <si>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</si>
  <si>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</si>
  <si>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</si>
  <si>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</si>
  <si>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</si>
  <si>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</si>
  <si>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</si>
  <si>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</si>
  <si>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</si>
  <si>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</si>
  <si>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</si>
  <si>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</si>
  <si>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</si>
  <si>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</si>
  <si>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</si>
  <si>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</si>
  <si>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</si>
  <si>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</si>
  <si>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</si>
  <si>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</si>
  <si>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</si>
  <si>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</si>
  <si>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</si>
  <si>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</si>
  <si>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</si>
  <si>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</si>
  <si>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</si>
  <si>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</si>
  <si>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</si>
  <si>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</si>
  <si>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</si>
  <si>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</si>
  <si>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</si>
  <si>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</si>
  <si>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</si>
  <si>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</si>
  <si>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</si>
  <si>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</si>
  <si>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</si>
  <si>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</si>
  <si>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</si>
  <si>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</si>
  <si>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</si>
  <si>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</si>
  <si>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</si>
  <si>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</si>
  <si>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</si>
  <si>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</si>
  <si>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</si>
  <si>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</si>
  <si>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</si>
  <si>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</si>
  <si>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</si>
  <si>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</si>
  <si>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</si>
  <si>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</si>
  <si>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</si>
  <si>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</si>
  <si>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</si>
  <si>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</si>
  <si>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</si>
  <si>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</si>
  <si>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</si>
  <si>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</si>
  <si>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</si>
  <si>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</si>
  <si>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</si>
  <si>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</si>
  <si>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</si>
  <si>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</si>
  <si>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</si>
  <si>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</si>
  <si>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</si>
  <si>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</si>
  <si>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</si>
  <si>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</si>
  <si>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</si>
  <si>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</si>
  <si>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</si>
  <si>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</si>
  <si>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</si>
  <si>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</si>
  <si>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</si>
  <si>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</si>
  <si>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</si>
  <si>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</si>
  <si>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</si>
  <si>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</si>
  <si>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</si>
  <si>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</si>
  <si>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</si>
  <si>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</si>
  <si>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</si>
  <si>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</si>
  <si>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</si>
  <si>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</si>
  <si>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</si>
  <si>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</si>
  <si>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</si>
  <si>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</si>
  <si>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</si>
  <si>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</si>
  <si>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</si>
  <si>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</si>
  <si>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</si>
  <si>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</si>
  <si>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</si>
  <si>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</si>
  <si>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</si>
  <si>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</si>
  <si>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</si>
  <si>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</si>
  <si>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</si>
  <si>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</si>
  <si>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</si>
  <si>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</si>
  <si>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</si>
  <si>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</si>
  <si>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</si>
  <si>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</si>
  <si>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</si>
  <si>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</si>
  <si>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</si>
  <si>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</si>
  <si>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</si>
  <si>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</si>
  <si>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</si>
  <si>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</si>
  <si>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</si>
  <si>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</si>
  <si>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</si>
  <si>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</si>
  <si>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</si>
  <si>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</si>
  <si>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</si>
  <si>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</si>
  <si>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</si>
  <si>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</si>
  <si>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</si>
  <si>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</si>
  <si>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</si>
  <si>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</si>
  <si>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</si>
  <si>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</si>
  <si>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</si>
  <si>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</si>
  <si>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</si>
  <si>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</si>
  <si>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</si>
  <si>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</si>
  <si>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</si>
  <si>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</si>
  <si>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</si>
  <si>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</si>
  <si>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</si>
  <si>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</si>
  <si>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</si>
  <si>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</si>
  <si>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</si>
  <si>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</si>
  <si>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</si>
  <si>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</si>
  <si>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</si>
  <si>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</si>
  <si>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</si>
  <si>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</si>
  <si>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</si>
  <si>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</si>
  <si>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</si>
  <si>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</si>
  <si>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</si>
  <si>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</si>
  <si>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</si>
  <si>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</si>
  <si>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</si>
  <si>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</si>
  <si>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</si>
  <si>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</si>
  <si>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</si>
  <si>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</si>
  <si>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</si>
  <si>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</si>
  <si>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</si>
  <si>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</si>
  <si>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</si>
  <si>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</si>
  <si>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</si>
  <si>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</si>
  <si>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</si>
  <si>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</si>
  <si>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</si>
  <si>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</si>
  <si>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</si>
  <si>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</si>
  <si>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</si>
  <si>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</si>
  <si>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</si>
  <si>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</si>
  <si>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</si>
  <si>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</si>
  <si>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</si>
  <si>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</si>
  <si>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</si>
  <si>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</si>
  <si>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</si>
  <si>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</si>
  <si>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</si>
  <si>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</si>
  <si>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</si>
  <si>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</si>
  <si>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</si>
  <si>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</si>
  <si>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</si>
  <si>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</si>
  <si>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</si>
  <si>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</si>
  <si>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</si>
  <si>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</si>
  <si>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</si>
  <si>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</si>
  <si>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</si>
  <si>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</si>
  <si>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</si>
  <si>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</si>
  <si>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</si>
  <si>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</si>
  <si>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</si>
  <si>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</si>
  <si>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</si>
  <si>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</si>
  <si>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</si>
  <si>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</si>
  <si>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</si>
  <si>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</si>
  <si>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</si>
  <si>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</si>
  <si>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</si>
  <si>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</si>
  <si>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</si>
  <si>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</si>
  <si>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</si>
  <si>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</si>
  <si>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</si>
  <si>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프로젝트 수행 및 통제</t>
  </si>
  <si>
    <t>프로젝트 종료</t>
  </si>
  <si>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</si>
  <si>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</si>
  <si>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</si>
  <si>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</si>
  <si>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</si>
  <si>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</si>
  <si>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</si>
  <si>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</si>
  <si>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</si>
  <si>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</si>
  <si>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설계</t>
  </si>
  <si>
    <t>UI 설계</t>
  </si>
  <si>
    <t>시스템 설계</t>
  </si>
  <si>
    <t>2.2.2.1</t>
  </si>
  <si>
    <t>Architecture설계</t>
  </si>
  <si>
    <t>2.2.2.2</t>
  </si>
  <si>
    <t>데이터베이스설계</t>
  </si>
  <si>
    <t>2.2.2.3</t>
  </si>
  <si>
    <t>프로그램설계</t>
  </si>
  <si>
    <t>테스트 설계</t>
  </si>
  <si>
    <t>개발</t>
  </si>
  <si>
    <t>프로그램 개발</t>
  </si>
  <si>
    <t>2.3.1.1</t>
  </si>
  <si>
    <t>단위테스트시나리오작성</t>
  </si>
  <si>
    <t>프로그램코딩 및 단위테스트</t>
  </si>
  <si>
    <t>2.3.1.2.1.1</t>
  </si>
  <si>
    <t>프로그램A</t>
  </si>
  <si>
    <t>2.3.1.2.1.2</t>
  </si>
  <si>
    <t>프로그램B</t>
  </si>
  <si>
    <t>2.3.1.2.1.3</t>
  </si>
  <si>
    <t>프로그램C</t>
  </si>
  <si>
    <t>2.3.1.2.2</t>
  </si>
  <si>
    <t>모듈B</t>
  </si>
  <si>
    <t>2.3.1.2.3</t>
  </si>
  <si>
    <t>모듈C</t>
  </si>
  <si>
    <t>2.3.1.2.4</t>
  </si>
  <si>
    <t>모듈D</t>
  </si>
  <si>
    <t>테스트실시</t>
  </si>
  <si>
    <t>2.3.2.1</t>
  </si>
  <si>
    <t>통합테스트실시</t>
  </si>
  <si>
    <t>2.3.2.2</t>
  </si>
  <si>
    <t>시스템테스트실시</t>
  </si>
  <si>
    <t>구현</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</si>
  <si>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</si>
  <si>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</si>
  <si>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</si>
  <si>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</si>
  <si>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</si>
  <si>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</si>
  <si>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</si>
  <si>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</si>
  <si>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</si>
  <si>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</si>
  <si>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</si>
  <si>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</si>
  <si>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</si>
  <si>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</si>
  <si>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</si>
  <si>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</si>
  <si>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</si>
  <si>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</si>
  <si>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</si>
  <si>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</si>
  <si>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</si>
  <si>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</si>
  <si>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</si>
  <si>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</si>
  <si>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</si>
  <si>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</si>
  <si>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</si>
  <si>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</si>
  <si>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</si>
  <si>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</si>
  <si>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</si>
  <si>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</si>
  <si>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</si>
  <si>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</si>
  <si>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</si>
  <si>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</si>
  <si>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</si>
  <si>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</si>
  <si>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</si>
  <si>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</si>
  <si>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</si>
  <si>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</si>
  <si>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</si>
  <si>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2</t>
  </si>
  <si>
    <t>2.1</t>
  </si>
  <si>
    <t>2.2</t>
  </si>
  <si>
    <t>2.2.2</t>
  </si>
  <si>
    <t>2.3</t>
  </si>
  <si>
    <t>2.3.1</t>
  </si>
  <si>
    <t>2.3.1.2</t>
  </si>
  <si>
    <t>2.3.1.2.1</t>
  </si>
  <si>
    <t>2.3.2</t>
  </si>
  <si>
    <t>2.4</t>
  </si>
  <si>
    <t>2.4.1</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</si>
  <si>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</si>
  <si>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</si>
  <si>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</si>
  <si>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</si>
  <si>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</si>
  <si>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</si>
  <si>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</si>
  <si>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</si>
  <si>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</si>
  <si>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</si>
  <si>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</si>
  <si>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</si>
  <si>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</si>
  <si>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</si>
  <si>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</si>
  <si>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</si>
  <si>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</si>
  <si>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</si>
  <si>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</si>
  <si>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</si>
  <si>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</si>
  <si>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담당</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</si>
  <si>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</si>
  <si>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</si>
  <si>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</si>
  <si>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</si>
  <si>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</si>
  <si>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</si>
  <si>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</si>
  <si>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</si>
  <si>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</si>
  <si>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</si>
  <si>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</si>
  <si>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</si>
  <si>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</si>
  <si>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</si>
  <si>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총_x000D_
작업량</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</si>
  <si>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</si>
  <si>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</si>
  <si>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</si>
  <si>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</si>
  <si>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</si>
  <si>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</si>
  <si>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총_x000D_
기간</t>
    <phoneticPr fontId="8" type="noConversion"/>
  </si>
  <si>
    <t>실적*</t>
    <phoneticPr fontId="8" type="noConversion"/>
  </si>
  <si>
    <t>OOO 프로젝트</t>
    <phoneticPr fontId="2"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</si>
  <si>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</si>
  <si>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</si>
  <si>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</si>
  <si>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</si>
  <si>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</si>
  <si>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시작일*</t>
    <phoneticPr fontId="8" type="noConversion"/>
  </si>
  <si>
    <t>Calendar</t>
    <phoneticPr fontId="8" type="noConversion"/>
  </si>
  <si>
    <t>계획_x000D_
기간</t>
    <phoneticPr fontId="8" type="noConversion"/>
  </si>
  <si>
    <t>실제_x000D_
완료일</t>
    <phoneticPr fontId="8" type="noConversion"/>
  </si>
  <si>
    <t>{"TASK_FIRST_COL":"5","START_ROW":"5","WBS_AREA_LAST_COL":"28"}</t>
    <phoneticPr fontId="8" type="noConversion"/>
  </si>
  <si>
    <t>WBS</t>
    <phoneticPr fontId="8" type="noConversion"/>
  </si>
  <si>
    <t>작업*</t>
    <phoneticPr fontId="8" type="noConversion"/>
  </si>
  <si>
    <t>완료일*</t>
    <phoneticPr fontId="8" type="noConversion"/>
  </si>
  <si>
    <t>실제_x000D_
시작일</t>
    <phoneticPr fontId="8" type="noConversion"/>
  </si>
  <si>
    <t>실제_x000D_
총작업량</t>
    <phoneticPr fontId="8" type="noConversion"/>
  </si>
  <si>
    <t>실제_x000D_
총기간</t>
    <phoneticPr fontId="8" type="noConversion"/>
  </si>
  <si>
    <t>C:\Temp</t>
    <phoneticPr fontId="8" type="noConversion"/>
  </si>
  <si>
    <t>파워포인트</t>
    <phoneticPr fontId="8" type="noConversion"/>
  </si>
  <si>
    <t>ppt*</t>
    <phoneticPr fontId="8" type="noConversion"/>
  </si>
  <si>
    <t>자동지정</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</si>
  <si>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</si>
  <si>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</si>
  <si>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</si>
  <si>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</si>
  <si>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</si>
  <si>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</si>
  <si>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</si>
  <si>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</si>
  <si>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</si>
  <si>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</si>
  <si>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</si>
  <si>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</si>
  <si>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</si>
  <si>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</si>
  <si>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</si>
  <si>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SCHEDULE_SHEET_POSITION:3545121314151617181920212223242526272829</t>
    <phoneticPr fontId="2" type="noConversion"/>
  </si>
  <si>
    <t>계획_x000D_
작업량</t>
    <phoneticPr fontId="8" type="noConversion"/>
  </si>
  <si>
    <t>계획</t>
    <phoneticPr fontId="8" type="noConversion"/>
  </si>
  <si>
    <t>주간회의1</t>
  </si>
  <si>
    <t>주간회의2</t>
  </si>
  <si>
    <t>주간회의3</t>
  </si>
  <si>
    <t>주간회의4</t>
  </si>
  <si>
    <t>비료제작기</t>
  </si>
  <si>
    <t>스마트화분</t>
  </si>
  <si>
    <t>어플리케이션</t>
  </si>
  <si>
    <t>발표</t>
  </si>
  <si>
    <t>모든 조원</t>
  </si>
  <si>
    <t>김영환</t>
  </si>
  <si>
    <t>회로설계</t>
  </si>
  <si>
    <t>이창현, 주한길</t>
  </si>
  <si>
    <t>황혜원, 채원부</t>
  </si>
  <si>
    <t>프로젝트 개발 계획서 &amp; 프로젝트 기획.pptx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</si>
</sst>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6">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Calibri"/>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51">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5" fillId="0" borderId="7" xfId="4" applyFont="1" applyFill="1" applyBorder="1" applyAlignment="1" applyProtection="1">
      <alignment horizontal="left" vertical="top"/>
      <protection locked="0"/>
    </xf>
    <xf numFmtId="0" fontId="44" fillId="0" borderId="7" xfId="4" applyFont="1" applyFill="1" applyBorder="1" applyAlignment="1" applyProtection="1">
      <alignment horizontal="left" vertical="top"/>
      <protection locked="0"/>
    </xf>
    <xf numFmtId="0" fontId="45" fillId="0" borderId="7" xfId="4" applyNumberFormat="1" applyFont="1" applyFill="1" applyBorder="1" applyAlignment="1" applyProtection="1">
      <alignment horizontal="left" vertical="top"/>
      <protection locked="0"/>
    </xf>
    <xf numFmtId="0" fontId="44" fillId="0" borderId="7" xfId="4" applyNumberFormat="1" applyFont="1" applyFill="1" applyBorder="1" applyAlignment="1" applyProtection="1">
      <alignment horizontal="left"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xf numFmtId="14" fontId="45" fillId="0" borderId="7" xfId="4" applyNumberFormat="1" applyFont="1" applyFill="1" applyBorder="1" applyAlignment="1" applyProtection="1">
      <alignment horizontal="lef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9A89-4972-92BE-8ED2CD9B1BAB}"/>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29</xdr:col>
      <xdr:colOff>82731</xdr:colOff>
      <xdr:row>3</xdr:row>
      <xdr:rowOff>59690</xdr:rowOff>
    </xdr:from>
    <xdr:to>
      <xdr:col>29</xdr:col>
      <xdr:colOff>82731</xdr:colOff>
      <xdr:row>37</xdr:row>
      <xdr:rowOff>0</xdr:rowOff>
    </xdr:to>
    <xdr:cxnSp macro="">
      <xdr:nvCxnSpPr>
        <xdr:cNvPr id="2" name="직선 화살표 연결선 1">
          <a:extLst>
            <a:ext uri="{FF2B5EF4-FFF2-40B4-BE49-F238E27FC236}">
              <a16:creationId xmlns:a16="http://schemas.microsoft.com/office/drawing/2014/main" id="{F9CE2ABA-4C93-40E7-B66E-ACADB02A2D4A}"/>
            </a:ext>
          </a:extLst>
        </xdr:cNvPr>
        <xdr:cNvCxnSpPr/>
      </xdr:nvCxnSpPr>
      <xdr:spPr>
        <a:xfrm>
          <a:off x="8777151" y="753110"/>
          <a:ext cx="0" cy="50304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36</xdr:row>
      <xdr:rowOff>19050</xdr:rowOff>
    </xdr:from>
    <xdr:to>
      <xdr:col>34</xdr:col>
      <xdr:colOff>62049</xdr:colOff>
      <xdr:row>36</xdr:row>
      <xdr:rowOff>133350</xdr:rowOff>
    </xdr:to>
    <xdr:sp macro="" textlink="">
      <xdr:nvSpPr>
        <xdr:cNvPr id="3" name="직사각형 2">
          <a:extLst>
            <a:ext uri="{FF2B5EF4-FFF2-40B4-BE49-F238E27FC236}">
              <a16:creationId xmlns:a16="http://schemas.microsoft.com/office/drawing/2014/main" id="{EC40AE6A-BBD7-484C-A5FF-07E27632F580}"/>
            </a:ext>
          </a:extLst>
        </xdr:cNvPr>
        <xdr:cNvSpPr/>
      </xdr:nvSpPr>
      <xdr:spPr>
        <a:xfrm>
          <a:off x="9459685" y="56502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36</xdr:row>
      <xdr:rowOff>76200</xdr:rowOff>
    </xdr:from>
    <xdr:to>
      <xdr:col>34</xdr:col>
      <xdr:colOff>41365</xdr:colOff>
      <xdr:row>36</xdr:row>
      <xdr:rowOff>76200</xdr:rowOff>
    </xdr:to>
    <xdr:cxnSp macro="">
      <xdr:nvCxnSpPr>
        <xdr:cNvPr id="4" name="직선 화살표 연결선 3">
          <a:extLst>
            <a:ext uri="{FF2B5EF4-FFF2-40B4-BE49-F238E27FC236}">
              <a16:creationId xmlns:a16="http://schemas.microsoft.com/office/drawing/2014/main" id="{BA699692-795C-4610-8077-806CB93464D4}"/>
            </a:ext>
          </a:extLst>
        </xdr:cNvPr>
        <xdr:cNvCxnSpPr/>
      </xdr:nvCxnSpPr>
      <xdr:spPr>
        <a:xfrm>
          <a:off x="9459685"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35</xdr:row>
      <xdr:rowOff>19050</xdr:rowOff>
    </xdr:from>
    <xdr:to>
      <xdr:col>34</xdr:col>
      <xdr:colOff>62049</xdr:colOff>
      <xdr:row>35</xdr:row>
      <xdr:rowOff>133350</xdr:rowOff>
    </xdr:to>
    <xdr:sp macro="" textlink="">
      <xdr:nvSpPr>
        <xdr:cNvPr id="5" name="직사각형 4">
          <a:extLst>
            <a:ext uri="{FF2B5EF4-FFF2-40B4-BE49-F238E27FC236}">
              <a16:creationId xmlns:a16="http://schemas.microsoft.com/office/drawing/2014/main" id="{27B9825C-DD3B-45FF-B5FB-A878B132DC1B}"/>
            </a:ext>
          </a:extLst>
        </xdr:cNvPr>
        <xdr:cNvSpPr/>
      </xdr:nvSpPr>
      <xdr:spPr>
        <a:xfrm>
          <a:off x="9459685" y="5497830"/>
          <a:ext cx="20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35</xdr:row>
      <xdr:rowOff>76200</xdr:rowOff>
    </xdr:from>
    <xdr:to>
      <xdr:col>34</xdr:col>
      <xdr:colOff>41365</xdr:colOff>
      <xdr:row>35</xdr:row>
      <xdr:rowOff>76200</xdr:rowOff>
    </xdr:to>
    <xdr:cxnSp macro="">
      <xdr:nvCxnSpPr>
        <xdr:cNvPr id="6" name="직선 화살표 연결선 5">
          <a:extLst>
            <a:ext uri="{FF2B5EF4-FFF2-40B4-BE49-F238E27FC236}">
              <a16:creationId xmlns:a16="http://schemas.microsoft.com/office/drawing/2014/main" id="{CE88B1CB-62CC-4F7D-9F4F-8B891F9D9314}"/>
            </a:ext>
          </a:extLst>
        </xdr:cNvPr>
        <xdr:cNvCxnSpPr/>
      </xdr:nvCxnSpPr>
      <xdr:spPr>
        <a:xfrm>
          <a:off x="9459685"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34</xdr:row>
      <xdr:rowOff>19050</xdr:rowOff>
    </xdr:from>
    <xdr:to>
      <xdr:col>33</xdr:col>
      <xdr:colOff>41366</xdr:colOff>
      <xdr:row>34</xdr:row>
      <xdr:rowOff>133350</xdr:rowOff>
    </xdr:to>
    <xdr:sp macro="" textlink="">
      <xdr:nvSpPr>
        <xdr:cNvPr id="7" name="직사각형 6">
          <a:extLst>
            <a:ext uri="{FF2B5EF4-FFF2-40B4-BE49-F238E27FC236}">
              <a16:creationId xmlns:a16="http://schemas.microsoft.com/office/drawing/2014/main" id="{22F34A3D-77B3-4BF9-B085-5FEC85EB3727}"/>
            </a:ext>
          </a:extLst>
        </xdr:cNvPr>
        <xdr:cNvSpPr/>
      </xdr:nvSpPr>
      <xdr:spPr>
        <a:xfrm>
          <a:off x="9294223" y="5345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34</xdr:row>
      <xdr:rowOff>76200</xdr:rowOff>
    </xdr:from>
    <xdr:to>
      <xdr:col>33</xdr:col>
      <xdr:colOff>20683</xdr:colOff>
      <xdr:row>34</xdr:row>
      <xdr:rowOff>76200</xdr:rowOff>
    </xdr:to>
    <xdr:cxnSp macro="">
      <xdr:nvCxnSpPr>
        <xdr:cNvPr id="8" name="직선 화살표 연결선 7">
          <a:extLst>
            <a:ext uri="{FF2B5EF4-FFF2-40B4-BE49-F238E27FC236}">
              <a16:creationId xmlns:a16="http://schemas.microsoft.com/office/drawing/2014/main" id="{44695FC3-1F26-42F6-80BE-1C9D6349212D}"/>
            </a:ext>
          </a:extLst>
        </xdr:cNvPr>
        <xdr:cNvCxnSpPr/>
      </xdr:nvCxnSpPr>
      <xdr:spPr>
        <a:xfrm>
          <a:off x="9294223"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33</xdr:row>
      <xdr:rowOff>19050</xdr:rowOff>
    </xdr:from>
    <xdr:to>
      <xdr:col>33</xdr:col>
      <xdr:colOff>41366</xdr:colOff>
      <xdr:row>33</xdr:row>
      <xdr:rowOff>133350</xdr:rowOff>
    </xdr:to>
    <xdr:sp macro="" textlink="">
      <xdr:nvSpPr>
        <xdr:cNvPr id="9" name="직사각형 8">
          <a:extLst>
            <a:ext uri="{FF2B5EF4-FFF2-40B4-BE49-F238E27FC236}">
              <a16:creationId xmlns:a16="http://schemas.microsoft.com/office/drawing/2014/main" id="{082B39E3-D6C9-44EB-BCDF-6CDB49C1C7E2}"/>
            </a:ext>
          </a:extLst>
        </xdr:cNvPr>
        <xdr:cNvSpPr/>
      </xdr:nvSpPr>
      <xdr:spPr>
        <a:xfrm>
          <a:off x="9294223" y="51930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33</xdr:row>
      <xdr:rowOff>76200</xdr:rowOff>
    </xdr:from>
    <xdr:to>
      <xdr:col>33</xdr:col>
      <xdr:colOff>20683</xdr:colOff>
      <xdr:row>33</xdr:row>
      <xdr:rowOff>76200</xdr:rowOff>
    </xdr:to>
    <xdr:cxnSp macro="">
      <xdr:nvCxnSpPr>
        <xdr:cNvPr id="10" name="직선 화살표 연결선 9">
          <a:extLst>
            <a:ext uri="{FF2B5EF4-FFF2-40B4-BE49-F238E27FC236}">
              <a16:creationId xmlns:a16="http://schemas.microsoft.com/office/drawing/2014/main" id="{7B4E8230-AC47-4DA8-B508-72A9CE55C9BD}"/>
            </a:ext>
          </a:extLst>
        </xdr:cNvPr>
        <xdr:cNvCxnSpPr/>
      </xdr:nvCxnSpPr>
      <xdr:spPr>
        <a:xfrm>
          <a:off x="9294223"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32</xdr:row>
      <xdr:rowOff>19050</xdr:rowOff>
    </xdr:from>
    <xdr:to>
      <xdr:col>33</xdr:col>
      <xdr:colOff>20683</xdr:colOff>
      <xdr:row>32</xdr:row>
      <xdr:rowOff>133350</xdr:rowOff>
    </xdr:to>
    <xdr:sp macro="" textlink="">
      <xdr:nvSpPr>
        <xdr:cNvPr id="11" name="직사각형 10">
          <a:extLst>
            <a:ext uri="{FF2B5EF4-FFF2-40B4-BE49-F238E27FC236}">
              <a16:creationId xmlns:a16="http://schemas.microsoft.com/office/drawing/2014/main" id="{09DA4D63-94DF-4523-A821-42E4A574EE7B}"/>
            </a:ext>
          </a:extLst>
        </xdr:cNvPr>
        <xdr:cNvSpPr/>
      </xdr:nvSpPr>
      <xdr:spPr>
        <a:xfrm>
          <a:off x="9087394" y="5040630"/>
          <a:ext cx="2068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32</xdr:row>
      <xdr:rowOff>76200</xdr:rowOff>
    </xdr:from>
    <xdr:to>
      <xdr:col>31</xdr:col>
      <xdr:colOff>103414</xdr:colOff>
      <xdr:row>32</xdr:row>
      <xdr:rowOff>76200</xdr:rowOff>
    </xdr:to>
    <xdr:cxnSp macro="">
      <xdr:nvCxnSpPr>
        <xdr:cNvPr id="12" name="직선 화살표 연결선 11">
          <a:extLst>
            <a:ext uri="{FF2B5EF4-FFF2-40B4-BE49-F238E27FC236}">
              <a16:creationId xmlns:a16="http://schemas.microsoft.com/office/drawing/2014/main" id="{8AF320B2-6983-4FD9-A77A-3606D8D19881}"/>
            </a:ext>
          </a:extLst>
        </xdr:cNvPr>
        <xdr:cNvCxnSpPr/>
      </xdr:nvCxnSpPr>
      <xdr:spPr>
        <a:xfrm>
          <a:off x="9087394"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31</xdr:row>
      <xdr:rowOff>19050</xdr:rowOff>
    </xdr:from>
    <xdr:to>
      <xdr:col>33</xdr:col>
      <xdr:colOff>20683</xdr:colOff>
      <xdr:row>31</xdr:row>
      <xdr:rowOff>133350</xdr:rowOff>
    </xdr:to>
    <xdr:sp macro="" textlink="">
      <xdr:nvSpPr>
        <xdr:cNvPr id="13" name="직사각형 12">
          <a:extLst>
            <a:ext uri="{FF2B5EF4-FFF2-40B4-BE49-F238E27FC236}">
              <a16:creationId xmlns:a16="http://schemas.microsoft.com/office/drawing/2014/main" id="{18F2F3E3-5C71-46AD-A2C2-D1BD368E9E87}"/>
            </a:ext>
          </a:extLst>
        </xdr:cNvPr>
        <xdr:cNvSpPr/>
      </xdr:nvSpPr>
      <xdr:spPr>
        <a:xfrm>
          <a:off x="9087394" y="4888230"/>
          <a:ext cx="2068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31</xdr:row>
      <xdr:rowOff>76200</xdr:rowOff>
    </xdr:from>
    <xdr:to>
      <xdr:col>31</xdr:col>
      <xdr:colOff>103414</xdr:colOff>
      <xdr:row>31</xdr:row>
      <xdr:rowOff>76200</xdr:rowOff>
    </xdr:to>
    <xdr:cxnSp macro="">
      <xdr:nvCxnSpPr>
        <xdr:cNvPr id="14" name="직선 화살표 연결선 13">
          <a:extLst>
            <a:ext uri="{FF2B5EF4-FFF2-40B4-BE49-F238E27FC236}">
              <a16:creationId xmlns:a16="http://schemas.microsoft.com/office/drawing/2014/main" id="{F1FD5BCB-E057-4DCB-B8A8-31EA36E2CBB0}"/>
            </a:ext>
          </a:extLst>
        </xdr:cNvPr>
        <xdr:cNvCxnSpPr/>
      </xdr:nvCxnSpPr>
      <xdr:spPr>
        <a:xfrm>
          <a:off x="9087394"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30</xdr:row>
      <xdr:rowOff>19050</xdr:rowOff>
    </xdr:from>
    <xdr:to>
      <xdr:col>33</xdr:col>
      <xdr:colOff>20683</xdr:colOff>
      <xdr:row>30</xdr:row>
      <xdr:rowOff>133350</xdr:rowOff>
    </xdr:to>
    <xdr:sp macro="" textlink="">
      <xdr:nvSpPr>
        <xdr:cNvPr id="15" name="직사각형 14">
          <a:extLst>
            <a:ext uri="{FF2B5EF4-FFF2-40B4-BE49-F238E27FC236}">
              <a16:creationId xmlns:a16="http://schemas.microsoft.com/office/drawing/2014/main" id="{1E4DD7FD-AFF9-40E3-A448-7D9DFB18B781}"/>
            </a:ext>
          </a:extLst>
        </xdr:cNvPr>
        <xdr:cNvSpPr/>
      </xdr:nvSpPr>
      <xdr:spPr>
        <a:xfrm>
          <a:off x="9087394" y="4735830"/>
          <a:ext cx="2068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30</xdr:row>
      <xdr:rowOff>76200</xdr:rowOff>
    </xdr:from>
    <xdr:to>
      <xdr:col>31</xdr:col>
      <xdr:colOff>103414</xdr:colOff>
      <xdr:row>30</xdr:row>
      <xdr:rowOff>76200</xdr:rowOff>
    </xdr:to>
    <xdr:cxnSp macro="">
      <xdr:nvCxnSpPr>
        <xdr:cNvPr id="16" name="직선 화살표 연결선 15">
          <a:extLst>
            <a:ext uri="{FF2B5EF4-FFF2-40B4-BE49-F238E27FC236}">
              <a16:creationId xmlns:a16="http://schemas.microsoft.com/office/drawing/2014/main" id="{BC6F8571-C539-427E-8AB8-1048365123AB}"/>
            </a:ext>
          </a:extLst>
        </xdr:cNvPr>
        <xdr:cNvCxnSpPr/>
      </xdr:nvCxnSpPr>
      <xdr:spPr>
        <a:xfrm>
          <a:off x="9087394"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29</xdr:row>
      <xdr:rowOff>19050</xdr:rowOff>
    </xdr:from>
    <xdr:to>
      <xdr:col>33</xdr:col>
      <xdr:colOff>20683</xdr:colOff>
      <xdr:row>29</xdr:row>
      <xdr:rowOff>133350</xdr:rowOff>
    </xdr:to>
    <xdr:sp macro="" textlink="">
      <xdr:nvSpPr>
        <xdr:cNvPr id="17" name="직사각형 16">
          <a:extLst>
            <a:ext uri="{FF2B5EF4-FFF2-40B4-BE49-F238E27FC236}">
              <a16:creationId xmlns:a16="http://schemas.microsoft.com/office/drawing/2014/main" id="{F1E42892-4B5F-41F1-B935-F05BF7898B0E}"/>
            </a:ext>
          </a:extLst>
        </xdr:cNvPr>
        <xdr:cNvSpPr/>
      </xdr:nvSpPr>
      <xdr:spPr>
        <a:xfrm>
          <a:off x="9087394" y="4583430"/>
          <a:ext cx="206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29</xdr:row>
      <xdr:rowOff>76200</xdr:rowOff>
    </xdr:from>
    <xdr:to>
      <xdr:col>31</xdr:col>
      <xdr:colOff>103414</xdr:colOff>
      <xdr:row>29</xdr:row>
      <xdr:rowOff>76200</xdr:rowOff>
    </xdr:to>
    <xdr:cxnSp macro="">
      <xdr:nvCxnSpPr>
        <xdr:cNvPr id="18" name="직선 화살표 연결선 17">
          <a:extLst>
            <a:ext uri="{FF2B5EF4-FFF2-40B4-BE49-F238E27FC236}">
              <a16:creationId xmlns:a16="http://schemas.microsoft.com/office/drawing/2014/main" id="{ED2A6C1B-508C-47E6-BFB4-73FCE560A306}"/>
            </a:ext>
          </a:extLst>
        </xdr:cNvPr>
        <xdr:cNvCxnSpPr/>
      </xdr:nvCxnSpPr>
      <xdr:spPr>
        <a:xfrm>
          <a:off x="9087394"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28</xdr:row>
      <xdr:rowOff>19050</xdr:rowOff>
    </xdr:from>
    <xdr:to>
      <xdr:col>30</xdr:col>
      <xdr:colOff>82731</xdr:colOff>
      <xdr:row>28</xdr:row>
      <xdr:rowOff>133350</xdr:rowOff>
    </xdr:to>
    <xdr:sp macro="" textlink="">
      <xdr:nvSpPr>
        <xdr:cNvPr id="19" name="직사각형 18">
          <a:extLst>
            <a:ext uri="{FF2B5EF4-FFF2-40B4-BE49-F238E27FC236}">
              <a16:creationId xmlns:a16="http://schemas.microsoft.com/office/drawing/2014/main" id="{2E7587A3-A550-4AFE-8025-891E5BA7D2E0}"/>
            </a:ext>
          </a:extLst>
        </xdr:cNvPr>
        <xdr:cNvSpPr/>
      </xdr:nvSpPr>
      <xdr:spPr>
        <a:xfrm>
          <a:off x="8901249" y="4431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28</xdr:row>
      <xdr:rowOff>76200</xdr:rowOff>
    </xdr:from>
    <xdr:to>
      <xdr:col>30</xdr:col>
      <xdr:colOff>62049</xdr:colOff>
      <xdr:row>28</xdr:row>
      <xdr:rowOff>76200</xdr:rowOff>
    </xdr:to>
    <xdr:cxnSp macro="">
      <xdr:nvCxnSpPr>
        <xdr:cNvPr id="20" name="직선 화살표 연결선 19">
          <a:extLst>
            <a:ext uri="{FF2B5EF4-FFF2-40B4-BE49-F238E27FC236}">
              <a16:creationId xmlns:a16="http://schemas.microsoft.com/office/drawing/2014/main" id="{EA46BCCF-131C-4B80-B9D4-5B21155583D5}"/>
            </a:ext>
          </a:extLst>
        </xdr:cNvPr>
        <xdr:cNvCxnSpPr/>
      </xdr:nvCxnSpPr>
      <xdr:spPr>
        <a:xfrm>
          <a:off x="8901249"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27</xdr:row>
      <xdr:rowOff>19050</xdr:rowOff>
    </xdr:from>
    <xdr:to>
      <xdr:col>33</xdr:col>
      <xdr:colOff>20683</xdr:colOff>
      <xdr:row>27</xdr:row>
      <xdr:rowOff>133350</xdr:rowOff>
    </xdr:to>
    <xdr:sp macro="" textlink="">
      <xdr:nvSpPr>
        <xdr:cNvPr id="21" name="직사각형 20">
          <a:extLst>
            <a:ext uri="{FF2B5EF4-FFF2-40B4-BE49-F238E27FC236}">
              <a16:creationId xmlns:a16="http://schemas.microsoft.com/office/drawing/2014/main" id="{6AF92EE8-150A-4900-8212-4E03C1B0C0CD}"/>
            </a:ext>
          </a:extLst>
        </xdr:cNvPr>
        <xdr:cNvSpPr/>
      </xdr:nvSpPr>
      <xdr:spPr>
        <a:xfrm>
          <a:off x="8901249" y="42786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27</xdr:row>
      <xdr:rowOff>76200</xdr:rowOff>
    </xdr:from>
    <xdr:to>
      <xdr:col>30</xdr:col>
      <xdr:colOff>62049</xdr:colOff>
      <xdr:row>27</xdr:row>
      <xdr:rowOff>76200</xdr:rowOff>
    </xdr:to>
    <xdr:cxnSp macro="">
      <xdr:nvCxnSpPr>
        <xdr:cNvPr id="22" name="직선 화살표 연결선 21">
          <a:extLst>
            <a:ext uri="{FF2B5EF4-FFF2-40B4-BE49-F238E27FC236}">
              <a16:creationId xmlns:a16="http://schemas.microsoft.com/office/drawing/2014/main" id="{B6505011-BA54-459D-B92D-7A23CEEEB312}"/>
            </a:ext>
          </a:extLst>
        </xdr:cNvPr>
        <xdr:cNvCxnSpPr/>
      </xdr:nvCxnSpPr>
      <xdr:spPr>
        <a:xfrm>
          <a:off x="8901249"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26</xdr:row>
      <xdr:rowOff>19050</xdr:rowOff>
    </xdr:from>
    <xdr:to>
      <xdr:col>33</xdr:col>
      <xdr:colOff>41366</xdr:colOff>
      <xdr:row>26</xdr:row>
      <xdr:rowOff>133350</xdr:rowOff>
    </xdr:to>
    <xdr:sp macro="" textlink="">
      <xdr:nvSpPr>
        <xdr:cNvPr id="23" name="직사각형 22">
          <a:extLst>
            <a:ext uri="{FF2B5EF4-FFF2-40B4-BE49-F238E27FC236}">
              <a16:creationId xmlns:a16="http://schemas.microsoft.com/office/drawing/2014/main" id="{7FBC3F18-8B6B-4535-B7FE-815FFC5FECC3}"/>
            </a:ext>
          </a:extLst>
        </xdr:cNvPr>
        <xdr:cNvSpPr/>
      </xdr:nvSpPr>
      <xdr:spPr>
        <a:xfrm>
          <a:off x="8901249" y="4126230"/>
          <a:ext cx="41365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26</xdr:row>
      <xdr:rowOff>76200</xdr:rowOff>
    </xdr:from>
    <xdr:to>
      <xdr:col>30</xdr:col>
      <xdr:colOff>62049</xdr:colOff>
      <xdr:row>26</xdr:row>
      <xdr:rowOff>76200</xdr:rowOff>
    </xdr:to>
    <xdr:cxnSp macro="">
      <xdr:nvCxnSpPr>
        <xdr:cNvPr id="24" name="직선 화살표 연결선 23">
          <a:extLst>
            <a:ext uri="{FF2B5EF4-FFF2-40B4-BE49-F238E27FC236}">
              <a16:creationId xmlns:a16="http://schemas.microsoft.com/office/drawing/2014/main" id="{7DCA41AD-C55B-40EC-A3C9-2969EAD6238D}"/>
            </a:ext>
          </a:extLst>
        </xdr:cNvPr>
        <xdr:cNvCxnSpPr/>
      </xdr:nvCxnSpPr>
      <xdr:spPr>
        <a:xfrm>
          <a:off x="8901249"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25</xdr:row>
      <xdr:rowOff>19050</xdr:rowOff>
    </xdr:from>
    <xdr:to>
      <xdr:col>30</xdr:col>
      <xdr:colOff>82731</xdr:colOff>
      <xdr:row>25</xdr:row>
      <xdr:rowOff>133350</xdr:rowOff>
    </xdr:to>
    <xdr:sp macro="" textlink="">
      <xdr:nvSpPr>
        <xdr:cNvPr id="25" name="직사각형 24">
          <a:extLst>
            <a:ext uri="{FF2B5EF4-FFF2-40B4-BE49-F238E27FC236}">
              <a16:creationId xmlns:a16="http://schemas.microsoft.com/office/drawing/2014/main" id="{AE6894D8-3AE7-4805-91E3-9381B3EAB9D6}"/>
            </a:ext>
          </a:extLst>
        </xdr:cNvPr>
        <xdr:cNvSpPr/>
      </xdr:nvSpPr>
      <xdr:spPr>
        <a:xfrm>
          <a:off x="8901249" y="3973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25</xdr:row>
      <xdr:rowOff>76200</xdr:rowOff>
    </xdr:from>
    <xdr:to>
      <xdr:col>30</xdr:col>
      <xdr:colOff>62049</xdr:colOff>
      <xdr:row>25</xdr:row>
      <xdr:rowOff>76200</xdr:rowOff>
    </xdr:to>
    <xdr:cxnSp macro="">
      <xdr:nvCxnSpPr>
        <xdr:cNvPr id="26" name="직선 화살표 연결선 25">
          <a:extLst>
            <a:ext uri="{FF2B5EF4-FFF2-40B4-BE49-F238E27FC236}">
              <a16:creationId xmlns:a16="http://schemas.microsoft.com/office/drawing/2014/main" id="{5D42B662-31F5-4D2A-87BF-0CE3AB59C81C}"/>
            </a:ext>
          </a:extLst>
        </xdr:cNvPr>
        <xdr:cNvCxnSpPr/>
      </xdr:nvCxnSpPr>
      <xdr:spPr>
        <a:xfrm>
          <a:off x="8901249"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24</xdr:row>
      <xdr:rowOff>19050</xdr:rowOff>
    </xdr:from>
    <xdr:to>
      <xdr:col>30</xdr:col>
      <xdr:colOff>82731</xdr:colOff>
      <xdr:row>24</xdr:row>
      <xdr:rowOff>133350</xdr:rowOff>
    </xdr:to>
    <xdr:sp macro="" textlink="">
      <xdr:nvSpPr>
        <xdr:cNvPr id="27" name="직사각형 26">
          <a:extLst>
            <a:ext uri="{FF2B5EF4-FFF2-40B4-BE49-F238E27FC236}">
              <a16:creationId xmlns:a16="http://schemas.microsoft.com/office/drawing/2014/main" id="{EF5DE319-62FB-4CB0-97B3-B51FF267F099}"/>
            </a:ext>
          </a:extLst>
        </xdr:cNvPr>
        <xdr:cNvSpPr/>
      </xdr:nvSpPr>
      <xdr:spPr>
        <a:xfrm>
          <a:off x="8839200" y="38214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24</xdr:row>
      <xdr:rowOff>76200</xdr:rowOff>
    </xdr:from>
    <xdr:to>
      <xdr:col>30</xdr:col>
      <xdr:colOff>0</xdr:colOff>
      <xdr:row>24</xdr:row>
      <xdr:rowOff>76200</xdr:rowOff>
    </xdr:to>
    <xdr:cxnSp macro="">
      <xdr:nvCxnSpPr>
        <xdr:cNvPr id="28" name="직선 화살표 연결선 27">
          <a:extLst>
            <a:ext uri="{FF2B5EF4-FFF2-40B4-BE49-F238E27FC236}">
              <a16:creationId xmlns:a16="http://schemas.microsoft.com/office/drawing/2014/main" id="{B2AFF0B2-B8E5-487B-A30A-E164A32D7AC7}"/>
            </a:ext>
          </a:extLst>
        </xdr:cNvPr>
        <xdr:cNvCxnSpPr/>
      </xdr:nvCxnSpPr>
      <xdr:spPr>
        <a:xfrm>
          <a:off x="8839200"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23</xdr:row>
      <xdr:rowOff>19050</xdr:rowOff>
    </xdr:from>
    <xdr:to>
      <xdr:col>30</xdr:col>
      <xdr:colOff>82731</xdr:colOff>
      <xdr:row>23</xdr:row>
      <xdr:rowOff>133350</xdr:rowOff>
    </xdr:to>
    <xdr:sp macro="" textlink="">
      <xdr:nvSpPr>
        <xdr:cNvPr id="29" name="직사각형 28">
          <a:extLst>
            <a:ext uri="{FF2B5EF4-FFF2-40B4-BE49-F238E27FC236}">
              <a16:creationId xmlns:a16="http://schemas.microsoft.com/office/drawing/2014/main" id="{290D922F-C0DB-4071-A107-4D8EE1ECAE82}"/>
            </a:ext>
          </a:extLst>
        </xdr:cNvPr>
        <xdr:cNvSpPr/>
      </xdr:nvSpPr>
      <xdr:spPr>
        <a:xfrm>
          <a:off x="8839200" y="3669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23</xdr:row>
      <xdr:rowOff>76200</xdr:rowOff>
    </xdr:from>
    <xdr:to>
      <xdr:col>30</xdr:col>
      <xdr:colOff>0</xdr:colOff>
      <xdr:row>23</xdr:row>
      <xdr:rowOff>76200</xdr:rowOff>
    </xdr:to>
    <xdr:cxnSp macro="">
      <xdr:nvCxnSpPr>
        <xdr:cNvPr id="30" name="직선 화살표 연결선 29">
          <a:extLst>
            <a:ext uri="{FF2B5EF4-FFF2-40B4-BE49-F238E27FC236}">
              <a16:creationId xmlns:a16="http://schemas.microsoft.com/office/drawing/2014/main" id="{E662AE42-D5D5-44F2-B239-867E24851912}"/>
            </a:ext>
          </a:extLst>
        </xdr:cNvPr>
        <xdr:cNvCxnSpPr/>
      </xdr:nvCxnSpPr>
      <xdr:spPr>
        <a:xfrm>
          <a:off x="8839200"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22</xdr:row>
      <xdr:rowOff>19050</xdr:rowOff>
    </xdr:from>
    <xdr:to>
      <xdr:col>30</xdr:col>
      <xdr:colOff>82731</xdr:colOff>
      <xdr:row>22</xdr:row>
      <xdr:rowOff>133350</xdr:rowOff>
    </xdr:to>
    <xdr:sp macro="" textlink="">
      <xdr:nvSpPr>
        <xdr:cNvPr id="31" name="직사각형 30">
          <a:extLst>
            <a:ext uri="{FF2B5EF4-FFF2-40B4-BE49-F238E27FC236}">
              <a16:creationId xmlns:a16="http://schemas.microsoft.com/office/drawing/2014/main" id="{42BC99C6-919A-4D1A-A3F0-AF37C0071AD4}"/>
            </a:ext>
          </a:extLst>
        </xdr:cNvPr>
        <xdr:cNvSpPr/>
      </xdr:nvSpPr>
      <xdr:spPr>
        <a:xfrm>
          <a:off x="8839200" y="3516630"/>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22</xdr:row>
      <xdr:rowOff>76200</xdr:rowOff>
    </xdr:from>
    <xdr:to>
      <xdr:col>30</xdr:col>
      <xdr:colOff>0</xdr:colOff>
      <xdr:row>22</xdr:row>
      <xdr:rowOff>76200</xdr:rowOff>
    </xdr:to>
    <xdr:cxnSp macro="">
      <xdr:nvCxnSpPr>
        <xdr:cNvPr id="22752" name="직선 화살표 연결선 22751">
          <a:extLst>
            <a:ext uri="{FF2B5EF4-FFF2-40B4-BE49-F238E27FC236}">
              <a16:creationId xmlns:a16="http://schemas.microsoft.com/office/drawing/2014/main" id="{66B77D1D-4BD5-46F8-9BA4-D2E861E54969}"/>
            </a:ext>
          </a:extLst>
        </xdr:cNvPr>
        <xdr:cNvCxnSpPr/>
      </xdr:nvCxnSpPr>
      <xdr:spPr>
        <a:xfrm>
          <a:off x="8839200"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82731</xdr:colOff>
      <xdr:row>21</xdr:row>
      <xdr:rowOff>19050</xdr:rowOff>
    </xdr:from>
    <xdr:to>
      <xdr:col>30</xdr:col>
      <xdr:colOff>82731</xdr:colOff>
      <xdr:row>21</xdr:row>
      <xdr:rowOff>133350</xdr:rowOff>
    </xdr:to>
    <xdr:sp macro="" textlink="">
      <xdr:nvSpPr>
        <xdr:cNvPr id="22753" name="직사각형 22752">
          <a:extLst>
            <a:ext uri="{FF2B5EF4-FFF2-40B4-BE49-F238E27FC236}">
              <a16:creationId xmlns:a16="http://schemas.microsoft.com/office/drawing/2014/main" id="{E8FCFE4E-C3DE-4049-8398-5F341EEB1935}"/>
            </a:ext>
          </a:extLst>
        </xdr:cNvPr>
        <xdr:cNvSpPr/>
      </xdr:nvSpPr>
      <xdr:spPr>
        <a:xfrm>
          <a:off x="8777151" y="33642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82731</xdr:colOff>
      <xdr:row>21</xdr:row>
      <xdr:rowOff>76200</xdr:rowOff>
    </xdr:from>
    <xdr:to>
      <xdr:col>29</xdr:col>
      <xdr:colOff>130509</xdr:colOff>
      <xdr:row>21</xdr:row>
      <xdr:rowOff>76200</xdr:rowOff>
    </xdr:to>
    <xdr:cxnSp macro="">
      <xdr:nvCxnSpPr>
        <xdr:cNvPr id="22754" name="직선 화살표 연결선 22753">
          <a:extLst>
            <a:ext uri="{FF2B5EF4-FFF2-40B4-BE49-F238E27FC236}">
              <a16:creationId xmlns:a16="http://schemas.microsoft.com/office/drawing/2014/main" id="{7E2E2FC4-515F-4879-80A8-BF18538A9640}"/>
            </a:ext>
          </a:extLst>
        </xdr:cNvPr>
        <xdr:cNvCxnSpPr/>
      </xdr:nvCxnSpPr>
      <xdr:spPr>
        <a:xfrm>
          <a:off x="8777151" y="3421380"/>
          <a:ext cx="477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82731</xdr:colOff>
      <xdr:row>20</xdr:row>
      <xdr:rowOff>19050</xdr:rowOff>
    </xdr:from>
    <xdr:to>
      <xdr:col>30</xdr:col>
      <xdr:colOff>82731</xdr:colOff>
      <xdr:row>20</xdr:row>
      <xdr:rowOff>133350</xdr:rowOff>
    </xdr:to>
    <xdr:sp macro="" textlink="">
      <xdr:nvSpPr>
        <xdr:cNvPr id="22755" name="직사각형 22754">
          <a:extLst>
            <a:ext uri="{FF2B5EF4-FFF2-40B4-BE49-F238E27FC236}">
              <a16:creationId xmlns:a16="http://schemas.microsoft.com/office/drawing/2014/main" id="{19E7E44F-4F55-49C7-A91C-977358D0B033}"/>
            </a:ext>
          </a:extLst>
        </xdr:cNvPr>
        <xdr:cNvSpPr/>
      </xdr:nvSpPr>
      <xdr:spPr>
        <a:xfrm>
          <a:off x="8777151" y="3211830"/>
          <a:ext cx="144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82731</xdr:colOff>
      <xdr:row>20</xdr:row>
      <xdr:rowOff>76200</xdr:rowOff>
    </xdr:from>
    <xdr:to>
      <xdr:col>29</xdr:col>
      <xdr:colOff>102638</xdr:colOff>
      <xdr:row>20</xdr:row>
      <xdr:rowOff>76200</xdr:rowOff>
    </xdr:to>
    <xdr:cxnSp macro="">
      <xdr:nvCxnSpPr>
        <xdr:cNvPr id="22756" name="직선 화살표 연결선 22755">
          <a:extLst>
            <a:ext uri="{FF2B5EF4-FFF2-40B4-BE49-F238E27FC236}">
              <a16:creationId xmlns:a16="http://schemas.microsoft.com/office/drawing/2014/main" id="{F3592C81-BA20-48AE-A8C2-B20C27724441}"/>
            </a:ext>
          </a:extLst>
        </xdr:cNvPr>
        <xdr:cNvCxnSpPr/>
      </xdr:nvCxnSpPr>
      <xdr:spPr>
        <a:xfrm>
          <a:off x="8777151" y="3268980"/>
          <a:ext cx="19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19</xdr:row>
      <xdr:rowOff>19050</xdr:rowOff>
    </xdr:from>
    <xdr:to>
      <xdr:col>29</xdr:col>
      <xdr:colOff>82731</xdr:colOff>
      <xdr:row>19</xdr:row>
      <xdr:rowOff>133350</xdr:rowOff>
    </xdr:to>
    <xdr:sp macro="" textlink="">
      <xdr:nvSpPr>
        <xdr:cNvPr id="22757" name="직사각형 22756">
          <a:extLst>
            <a:ext uri="{FF2B5EF4-FFF2-40B4-BE49-F238E27FC236}">
              <a16:creationId xmlns:a16="http://schemas.microsoft.com/office/drawing/2014/main" id="{35B6B462-4026-4D8F-A868-3701254066BD}"/>
            </a:ext>
          </a:extLst>
        </xdr:cNvPr>
        <xdr:cNvSpPr/>
      </xdr:nvSpPr>
      <xdr:spPr>
        <a:xfrm>
          <a:off x="8756469" y="30594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19</xdr:row>
      <xdr:rowOff>76200</xdr:rowOff>
    </xdr:from>
    <xdr:to>
      <xdr:col>29</xdr:col>
      <xdr:colOff>71356</xdr:colOff>
      <xdr:row>19</xdr:row>
      <xdr:rowOff>76200</xdr:rowOff>
    </xdr:to>
    <xdr:cxnSp macro="">
      <xdr:nvCxnSpPr>
        <xdr:cNvPr id="22758" name="직선 화살표 연결선 22757">
          <a:extLst>
            <a:ext uri="{FF2B5EF4-FFF2-40B4-BE49-F238E27FC236}">
              <a16:creationId xmlns:a16="http://schemas.microsoft.com/office/drawing/2014/main" id="{FFDF3D4E-E372-491B-AAC1-81DE0C8DDB9A}"/>
            </a:ext>
          </a:extLst>
        </xdr:cNvPr>
        <xdr:cNvCxnSpPr/>
      </xdr:nvCxnSpPr>
      <xdr:spPr>
        <a:xfrm>
          <a:off x="8756469" y="3116580"/>
          <a:ext cx="93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18</xdr:row>
      <xdr:rowOff>19050</xdr:rowOff>
    </xdr:from>
    <xdr:to>
      <xdr:col>29</xdr:col>
      <xdr:colOff>82731</xdr:colOff>
      <xdr:row>18</xdr:row>
      <xdr:rowOff>133350</xdr:rowOff>
    </xdr:to>
    <xdr:sp macro="" textlink="">
      <xdr:nvSpPr>
        <xdr:cNvPr id="22759" name="직사각형 22758">
          <a:extLst>
            <a:ext uri="{FF2B5EF4-FFF2-40B4-BE49-F238E27FC236}">
              <a16:creationId xmlns:a16="http://schemas.microsoft.com/office/drawing/2014/main" id="{490C00B1-5E68-443B-A883-E77D980E4646}"/>
            </a:ext>
          </a:extLst>
        </xdr:cNvPr>
        <xdr:cNvSpPr/>
      </xdr:nvSpPr>
      <xdr:spPr>
        <a:xfrm>
          <a:off x="8756469" y="2907030"/>
          <a:ext cx="2068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18</xdr:row>
      <xdr:rowOff>76200</xdr:rowOff>
    </xdr:from>
    <xdr:to>
      <xdr:col>29</xdr:col>
      <xdr:colOff>71356</xdr:colOff>
      <xdr:row>18</xdr:row>
      <xdr:rowOff>76200</xdr:rowOff>
    </xdr:to>
    <xdr:cxnSp macro="">
      <xdr:nvCxnSpPr>
        <xdr:cNvPr id="22760" name="직선 화살표 연결선 22759">
          <a:extLst>
            <a:ext uri="{FF2B5EF4-FFF2-40B4-BE49-F238E27FC236}">
              <a16:creationId xmlns:a16="http://schemas.microsoft.com/office/drawing/2014/main" id="{716BFD2D-973C-4450-BD40-3B12BD69C716}"/>
            </a:ext>
          </a:extLst>
        </xdr:cNvPr>
        <xdr:cNvCxnSpPr/>
      </xdr:nvCxnSpPr>
      <xdr:spPr>
        <a:xfrm>
          <a:off x="8756469" y="2964180"/>
          <a:ext cx="93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17</xdr:row>
      <xdr:rowOff>19050</xdr:rowOff>
    </xdr:from>
    <xdr:to>
      <xdr:col>34</xdr:col>
      <xdr:colOff>62049</xdr:colOff>
      <xdr:row>17</xdr:row>
      <xdr:rowOff>133350</xdr:rowOff>
    </xdr:to>
    <xdr:sp macro="" textlink="">
      <xdr:nvSpPr>
        <xdr:cNvPr id="22761" name="직사각형 22760">
          <a:extLst>
            <a:ext uri="{FF2B5EF4-FFF2-40B4-BE49-F238E27FC236}">
              <a16:creationId xmlns:a16="http://schemas.microsoft.com/office/drawing/2014/main" id="{AA059F39-5CC3-4282-8915-A6EEE0FE485A}"/>
            </a:ext>
          </a:extLst>
        </xdr:cNvPr>
        <xdr:cNvSpPr/>
      </xdr:nvSpPr>
      <xdr:spPr>
        <a:xfrm>
          <a:off x="8756469" y="2754630"/>
          <a:ext cx="7239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17</xdr:row>
      <xdr:rowOff>76200</xdr:rowOff>
    </xdr:from>
    <xdr:to>
      <xdr:col>29</xdr:col>
      <xdr:colOff>106760</xdr:colOff>
      <xdr:row>17</xdr:row>
      <xdr:rowOff>76200</xdr:rowOff>
    </xdr:to>
    <xdr:cxnSp macro="">
      <xdr:nvCxnSpPr>
        <xdr:cNvPr id="22762" name="직선 화살표 연결선 22761">
          <a:extLst>
            <a:ext uri="{FF2B5EF4-FFF2-40B4-BE49-F238E27FC236}">
              <a16:creationId xmlns:a16="http://schemas.microsoft.com/office/drawing/2014/main" id="{35EA646D-28C2-4A7A-8A53-9308C6C02F70}"/>
            </a:ext>
          </a:extLst>
        </xdr:cNvPr>
        <xdr:cNvCxnSpPr/>
      </xdr:nvCxnSpPr>
      <xdr:spPr>
        <a:xfrm>
          <a:off x="8756469" y="2811780"/>
          <a:ext cx="447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16</xdr:row>
      <xdr:rowOff>19050</xdr:rowOff>
    </xdr:from>
    <xdr:to>
      <xdr:col>34</xdr:col>
      <xdr:colOff>62049</xdr:colOff>
      <xdr:row>16</xdr:row>
      <xdr:rowOff>133350</xdr:rowOff>
    </xdr:to>
    <xdr:sp macro="" textlink="">
      <xdr:nvSpPr>
        <xdr:cNvPr id="22763" name="직사각형 22762">
          <a:extLst>
            <a:ext uri="{FF2B5EF4-FFF2-40B4-BE49-F238E27FC236}">
              <a16:creationId xmlns:a16="http://schemas.microsoft.com/office/drawing/2014/main" id="{136829BE-0CF5-4FEA-BFE6-7590049C93F6}"/>
            </a:ext>
          </a:extLst>
        </xdr:cNvPr>
        <xdr:cNvSpPr/>
      </xdr:nvSpPr>
      <xdr:spPr>
        <a:xfrm>
          <a:off x="9459685" y="26022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16</xdr:row>
      <xdr:rowOff>76200</xdr:rowOff>
    </xdr:from>
    <xdr:to>
      <xdr:col>34</xdr:col>
      <xdr:colOff>41365</xdr:colOff>
      <xdr:row>16</xdr:row>
      <xdr:rowOff>76200</xdr:rowOff>
    </xdr:to>
    <xdr:cxnSp macro="">
      <xdr:nvCxnSpPr>
        <xdr:cNvPr id="22764" name="직선 화살표 연결선 22763">
          <a:extLst>
            <a:ext uri="{FF2B5EF4-FFF2-40B4-BE49-F238E27FC236}">
              <a16:creationId xmlns:a16="http://schemas.microsoft.com/office/drawing/2014/main" id="{CC992943-E8E4-411F-8C80-247B07C30853}"/>
            </a:ext>
          </a:extLst>
        </xdr:cNvPr>
        <xdr:cNvCxnSpPr/>
      </xdr:nvCxnSpPr>
      <xdr:spPr>
        <a:xfrm>
          <a:off x="9459685"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15</xdr:row>
      <xdr:rowOff>19050</xdr:rowOff>
    </xdr:from>
    <xdr:to>
      <xdr:col>34</xdr:col>
      <xdr:colOff>62049</xdr:colOff>
      <xdr:row>15</xdr:row>
      <xdr:rowOff>133350</xdr:rowOff>
    </xdr:to>
    <xdr:sp macro="" textlink="">
      <xdr:nvSpPr>
        <xdr:cNvPr id="22765" name="직사각형 22764">
          <a:extLst>
            <a:ext uri="{FF2B5EF4-FFF2-40B4-BE49-F238E27FC236}">
              <a16:creationId xmlns:a16="http://schemas.microsoft.com/office/drawing/2014/main" id="{65CDAD51-394F-4D79-AE9F-39C8D1CFC481}"/>
            </a:ext>
          </a:extLst>
        </xdr:cNvPr>
        <xdr:cNvSpPr/>
      </xdr:nvSpPr>
      <xdr:spPr>
        <a:xfrm>
          <a:off x="9459685" y="2449830"/>
          <a:ext cx="20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15</xdr:row>
      <xdr:rowOff>76200</xdr:rowOff>
    </xdr:from>
    <xdr:to>
      <xdr:col>34</xdr:col>
      <xdr:colOff>41365</xdr:colOff>
      <xdr:row>15</xdr:row>
      <xdr:rowOff>76200</xdr:rowOff>
    </xdr:to>
    <xdr:cxnSp macro="">
      <xdr:nvCxnSpPr>
        <xdr:cNvPr id="22766" name="직선 화살표 연결선 22765">
          <a:extLst>
            <a:ext uri="{FF2B5EF4-FFF2-40B4-BE49-F238E27FC236}">
              <a16:creationId xmlns:a16="http://schemas.microsoft.com/office/drawing/2014/main" id="{62B0B737-6CFE-4B70-B4A6-43AC079FF3B2}"/>
            </a:ext>
          </a:extLst>
        </xdr:cNvPr>
        <xdr:cNvCxnSpPr/>
      </xdr:nvCxnSpPr>
      <xdr:spPr>
        <a:xfrm>
          <a:off x="9459685"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13</xdr:row>
      <xdr:rowOff>19050</xdr:rowOff>
    </xdr:from>
    <xdr:to>
      <xdr:col>32</xdr:col>
      <xdr:colOff>82731</xdr:colOff>
      <xdr:row>13</xdr:row>
      <xdr:rowOff>133350</xdr:rowOff>
    </xdr:to>
    <xdr:sp macro="" textlink="">
      <xdr:nvSpPr>
        <xdr:cNvPr id="22767" name="직사각형 22766">
          <a:extLst>
            <a:ext uri="{FF2B5EF4-FFF2-40B4-BE49-F238E27FC236}">
              <a16:creationId xmlns:a16="http://schemas.microsoft.com/office/drawing/2014/main" id="{F428DFF6-BC7B-477D-BD83-F9C0E94434B4}"/>
            </a:ext>
          </a:extLst>
        </xdr:cNvPr>
        <xdr:cNvSpPr/>
      </xdr:nvSpPr>
      <xdr:spPr>
        <a:xfrm>
          <a:off x="9190809" y="2145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13</xdr:row>
      <xdr:rowOff>76200</xdr:rowOff>
    </xdr:from>
    <xdr:to>
      <xdr:col>32</xdr:col>
      <xdr:colOff>62049</xdr:colOff>
      <xdr:row>13</xdr:row>
      <xdr:rowOff>76200</xdr:rowOff>
    </xdr:to>
    <xdr:cxnSp macro="">
      <xdr:nvCxnSpPr>
        <xdr:cNvPr id="22768" name="직선 화살표 연결선 22767">
          <a:extLst>
            <a:ext uri="{FF2B5EF4-FFF2-40B4-BE49-F238E27FC236}">
              <a16:creationId xmlns:a16="http://schemas.microsoft.com/office/drawing/2014/main" id="{0F4340F3-75CD-4F7B-8D91-412AEB721738}"/>
            </a:ext>
          </a:extLst>
        </xdr:cNvPr>
        <xdr:cNvCxnSpPr/>
      </xdr:nvCxnSpPr>
      <xdr:spPr>
        <a:xfrm>
          <a:off x="9190809"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12</xdr:row>
      <xdr:rowOff>19050</xdr:rowOff>
    </xdr:from>
    <xdr:to>
      <xdr:col>31</xdr:col>
      <xdr:colOff>82732</xdr:colOff>
      <xdr:row>12</xdr:row>
      <xdr:rowOff>133350</xdr:rowOff>
    </xdr:to>
    <xdr:sp macro="" textlink="">
      <xdr:nvSpPr>
        <xdr:cNvPr id="22769" name="직사각형 22768">
          <a:extLst>
            <a:ext uri="{FF2B5EF4-FFF2-40B4-BE49-F238E27FC236}">
              <a16:creationId xmlns:a16="http://schemas.microsoft.com/office/drawing/2014/main" id="{7335C231-F7C6-44D3-9A0D-4A20BB81F02D}"/>
            </a:ext>
          </a:extLst>
        </xdr:cNvPr>
        <xdr:cNvSpPr/>
      </xdr:nvSpPr>
      <xdr:spPr>
        <a:xfrm>
          <a:off x="9046028" y="1992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12</xdr:row>
      <xdr:rowOff>76200</xdr:rowOff>
    </xdr:from>
    <xdr:to>
      <xdr:col>31</xdr:col>
      <xdr:colOff>62048</xdr:colOff>
      <xdr:row>12</xdr:row>
      <xdr:rowOff>76200</xdr:rowOff>
    </xdr:to>
    <xdr:cxnSp macro="">
      <xdr:nvCxnSpPr>
        <xdr:cNvPr id="22770" name="직선 화살표 연결선 22769">
          <a:extLst>
            <a:ext uri="{FF2B5EF4-FFF2-40B4-BE49-F238E27FC236}">
              <a16:creationId xmlns:a16="http://schemas.microsoft.com/office/drawing/2014/main" id="{F4565DD8-305A-437B-81F1-0624507DFFE1}"/>
            </a:ext>
          </a:extLst>
        </xdr:cNvPr>
        <xdr:cNvCxnSpPr/>
      </xdr:nvCxnSpPr>
      <xdr:spPr>
        <a:xfrm>
          <a:off x="9046028"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11</xdr:row>
      <xdr:rowOff>19050</xdr:rowOff>
    </xdr:from>
    <xdr:to>
      <xdr:col>30</xdr:col>
      <xdr:colOff>82731</xdr:colOff>
      <xdr:row>11</xdr:row>
      <xdr:rowOff>133350</xdr:rowOff>
    </xdr:to>
    <xdr:sp macro="" textlink="">
      <xdr:nvSpPr>
        <xdr:cNvPr id="22771" name="직사각형 22770">
          <a:extLst>
            <a:ext uri="{FF2B5EF4-FFF2-40B4-BE49-F238E27FC236}">
              <a16:creationId xmlns:a16="http://schemas.microsoft.com/office/drawing/2014/main" id="{7F975BB6-9836-49F8-9ED4-01AA095E230C}"/>
            </a:ext>
          </a:extLst>
        </xdr:cNvPr>
        <xdr:cNvSpPr/>
      </xdr:nvSpPr>
      <xdr:spPr>
        <a:xfrm>
          <a:off x="8901249" y="1840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11</xdr:row>
      <xdr:rowOff>76200</xdr:rowOff>
    </xdr:from>
    <xdr:to>
      <xdr:col>30</xdr:col>
      <xdr:colOff>62049</xdr:colOff>
      <xdr:row>11</xdr:row>
      <xdr:rowOff>76200</xdr:rowOff>
    </xdr:to>
    <xdr:cxnSp macro="">
      <xdr:nvCxnSpPr>
        <xdr:cNvPr id="22772" name="직선 화살표 연결선 22771">
          <a:extLst>
            <a:ext uri="{FF2B5EF4-FFF2-40B4-BE49-F238E27FC236}">
              <a16:creationId xmlns:a16="http://schemas.microsoft.com/office/drawing/2014/main" id="{BE9F5833-BDC0-44BD-8522-D0F9DBFA03E0}"/>
            </a:ext>
          </a:extLst>
        </xdr:cNvPr>
        <xdr:cNvCxnSpPr/>
      </xdr:nvCxnSpPr>
      <xdr:spPr>
        <a:xfrm>
          <a:off x="8901249"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10</xdr:row>
      <xdr:rowOff>19050</xdr:rowOff>
    </xdr:from>
    <xdr:to>
      <xdr:col>29</xdr:col>
      <xdr:colOff>82731</xdr:colOff>
      <xdr:row>10</xdr:row>
      <xdr:rowOff>133350</xdr:rowOff>
    </xdr:to>
    <xdr:sp macro="" textlink="">
      <xdr:nvSpPr>
        <xdr:cNvPr id="22773" name="직사각형 22772">
          <a:extLst>
            <a:ext uri="{FF2B5EF4-FFF2-40B4-BE49-F238E27FC236}">
              <a16:creationId xmlns:a16="http://schemas.microsoft.com/office/drawing/2014/main" id="{D1EE3369-8BA4-4257-AE39-8BE76E92634D}"/>
            </a:ext>
          </a:extLst>
        </xdr:cNvPr>
        <xdr:cNvSpPr/>
      </xdr:nvSpPr>
      <xdr:spPr>
        <a:xfrm>
          <a:off x="8756469" y="1687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10</xdr:row>
      <xdr:rowOff>76200</xdr:rowOff>
    </xdr:from>
    <xdr:to>
      <xdr:col>29</xdr:col>
      <xdr:colOff>62049</xdr:colOff>
      <xdr:row>10</xdr:row>
      <xdr:rowOff>76200</xdr:rowOff>
    </xdr:to>
    <xdr:cxnSp macro="">
      <xdr:nvCxnSpPr>
        <xdr:cNvPr id="22774" name="직선 화살표 연결선 22773">
          <a:extLst>
            <a:ext uri="{FF2B5EF4-FFF2-40B4-BE49-F238E27FC236}">
              <a16:creationId xmlns:a16="http://schemas.microsoft.com/office/drawing/2014/main" id="{07E75E2A-738A-4DD4-BCC4-51EEA3D250D8}"/>
            </a:ext>
          </a:extLst>
        </xdr:cNvPr>
        <xdr:cNvCxnSpPr/>
      </xdr:nvCxnSpPr>
      <xdr:spPr>
        <a:xfrm>
          <a:off x="8756469"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9</xdr:row>
      <xdr:rowOff>19050</xdr:rowOff>
    </xdr:from>
    <xdr:to>
      <xdr:col>32</xdr:col>
      <xdr:colOff>82731</xdr:colOff>
      <xdr:row>9</xdr:row>
      <xdr:rowOff>133350</xdr:rowOff>
    </xdr:to>
    <xdr:sp macro="" textlink="">
      <xdr:nvSpPr>
        <xdr:cNvPr id="22775" name="직사각형 22774">
          <a:extLst>
            <a:ext uri="{FF2B5EF4-FFF2-40B4-BE49-F238E27FC236}">
              <a16:creationId xmlns:a16="http://schemas.microsoft.com/office/drawing/2014/main" id="{1F986BF6-0648-42D3-A4AB-145E170F6B36}"/>
            </a:ext>
          </a:extLst>
        </xdr:cNvPr>
        <xdr:cNvSpPr/>
      </xdr:nvSpPr>
      <xdr:spPr>
        <a:xfrm>
          <a:off x="8756469" y="1535430"/>
          <a:ext cx="4550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9</xdr:row>
      <xdr:rowOff>76200</xdr:rowOff>
    </xdr:from>
    <xdr:to>
      <xdr:col>29</xdr:col>
      <xdr:colOff>62049</xdr:colOff>
      <xdr:row>9</xdr:row>
      <xdr:rowOff>76200</xdr:rowOff>
    </xdr:to>
    <xdr:cxnSp macro="">
      <xdr:nvCxnSpPr>
        <xdr:cNvPr id="22776" name="직선 화살표 연결선 22775">
          <a:extLst>
            <a:ext uri="{FF2B5EF4-FFF2-40B4-BE49-F238E27FC236}">
              <a16:creationId xmlns:a16="http://schemas.microsoft.com/office/drawing/2014/main" id="{0318CEB8-9095-449F-B387-8201CFC95743}"/>
            </a:ext>
          </a:extLst>
        </xdr:cNvPr>
        <xdr:cNvCxnSpPr/>
      </xdr:nvCxnSpPr>
      <xdr:spPr>
        <a:xfrm>
          <a:off x="8756469"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41366</xdr:colOff>
      <xdr:row>8</xdr:row>
      <xdr:rowOff>19050</xdr:rowOff>
    </xdr:from>
    <xdr:to>
      <xdr:col>29</xdr:col>
      <xdr:colOff>82731</xdr:colOff>
      <xdr:row>8</xdr:row>
      <xdr:rowOff>133350</xdr:rowOff>
    </xdr:to>
    <xdr:sp macro="" textlink="">
      <xdr:nvSpPr>
        <xdr:cNvPr id="22777" name="직사각형 22776">
          <a:extLst>
            <a:ext uri="{FF2B5EF4-FFF2-40B4-BE49-F238E27FC236}">
              <a16:creationId xmlns:a16="http://schemas.microsoft.com/office/drawing/2014/main" id="{F357E645-1F41-43D7-8BAE-25ADB3F13573}"/>
            </a:ext>
          </a:extLst>
        </xdr:cNvPr>
        <xdr:cNvSpPr/>
      </xdr:nvSpPr>
      <xdr:spPr>
        <a:xfrm>
          <a:off x="8591006" y="13830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41366</xdr:colOff>
      <xdr:row>8</xdr:row>
      <xdr:rowOff>76200</xdr:rowOff>
    </xdr:from>
    <xdr:to>
      <xdr:col>29</xdr:col>
      <xdr:colOff>82731</xdr:colOff>
      <xdr:row>8</xdr:row>
      <xdr:rowOff>76200</xdr:rowOff>
    </xdr:to>
    <xdr:cxnSp macro="">
      <xdr:nvCxnSpPr>
        <xdr:cNvPr id="22778" name="직선 화살표 연결선 22777">
          <a:extLst>
            <a:ext uri="{FF2B5EF4-FFF2-40B4-BE49-F238E27FC236}">
              <a16:creationId xmlns:a16="http://schemas.microsoft.com/office/drawing/2014/main" id="{40E84FE7-763E-4D4A-B032-B5D6A302AC1C}"/>
            </a:ext>
          </a:extLst>
        </xdr:cNvPr>
        <xdr:cNvCxnSpPr/>
      </xdr:nvCxnSpPr>
      <xdr:spPr>
        <a:xfrm>
          <a:off x="8591006" y="14401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41366</xdr:colOff>
      <xdr:row>7</xdr:row>
      <xdr:rowOff>19050</xdr:rowOff>
    </xdr:from>
    <xdr:to>
      <xdr:col>29</xdr:col>
      <xdr:colOff>82731</xdr:colOff>
      <xdr:row>7</xdr:row>
      <xdr:rowOff>133350</xdr:rowOff>
    </xdr:to>
    <xdr:sp macro="" textlink="">
      <xdr:nvSpPr>
        <xdr:cNvPr id="22844" name="직사각형 22843">
          <a:extLst>
            <a:ext uri="{FF2B5EF4-FFF2-40B4-BE49-F238E27FC236}">
              <a16:creationId xmlns:a16="http://schemas.microsoft.com/office/drawing/2014/main" id="{B10621C6-2C30-4155-8A8D-CA5434D9753C}"/>
            </a:ext>
          </a:extLst>
        </xdr:cNvPr>
        <xdr:cNvSpPr/>
      </xdr:nvSpPr>
      <xdr:spPr>
        <a:xfrm>
          <a:off x="8591006" y="1230630"/>
          <a:ext cx="186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41366</xdr:colOff>
      <xdr:row>7</xdr:row>
      <xdr:rowOff>76200</xdr:rowOff>
    </xdr:from>
    <xdr:to>
      <xdr:col>29</xdr:col>
      <xdr:colOff>82731</xdr:colOff>
      <xdr:row>7</xdr:row>
      <xdr:rowOff>76200</xdr:rowOff>
    </xdr:to>
    <xdr:cxnSp macro="">
      <xdr:nvCxnSpPr>
        <xdr:cNvPr id="22845" name="직선 화살표 연결선 22844">
          <a:extLst>
            <a:ext uri="{FF2B5EF4-FFF2-40B4-BE49-F238E27FC236}">
              <a16:creationId xmlns:a16="http://schemas.microsoft.com/office/drawing/2014/main" id="{DB468B07-06D8-4CE2-B1F4-48068499DF32}"/>
            </a:ext>
          </a:extLst>
        </xdr:cNvPr>
        <xdr:cNvCxnSpPr/>
      </xdr:nvCxnSpPr>
      <xdr:spPr>
        <a:xfrm>
          <a:off x="8591006" y="12877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6</xdr:row>
      <xdr:rowOff>19050</xdr:rowOff>
    </xdr:from>
    <xdr:to>
      <xdr:col>28</xdr:col>
      <xdr:colOff>41366</xdr:colOff>
      <xdr:row>6</xdr:row>
      <xdr:rowOff>133350</xdr:rowOff>
    </xdr:to>
    <xdr:sp macro="" textlink="">
      <xdr:nvSpPr>
        <xdr:cNvPr id="22846" name="직사각형 22845">
          <a:extLst>
            <a:ext uri="{FF2B5EF4-FFF2-40B4-BE49-F238E27FC236}">
              <a16:creationId xmlns:a16="http://schemas.microsoft.com/office/drawing/2014/main" id="{5BBF478B-FC58-4CC9-9911-B9FD2FC907E5}"/>
            </a:ext>
          </a:extLst>
        </xdr:cNvPr>
        <xdr:cNvSpPr/>
      </xdr:nvSpPr>
      <xdr:spPr>
        <a:xfrm>
          <a:off x="8570323" y="107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6</xdr:row>
      <xdr:rowOff>76200</xdr:rowOff>
    </xdr:from>
    <xdr:to>
      <xdr:col>28</xdr:col>
      <xdr:colOff>41366</xdr:colOff>
      <xdr:row>6</xdr:row>
      <xdr:rowOff>76200</xdr:rowOff>
    </xdr:to>
    <xdr:cxnSp macro="">
      <xdr:nvCxnSpPr>
        <xdr:cNvPr id="22847" name="직선 화살표 연결선 22846">
          <a:extLst>
            <a:ext uri="{FF2B5EF4-FFF2-40B4-BE49-F238E27FC236}">
              <a16:creationId xmlns:a16="http://schemas.microsoft.com/office/drawing/2014/main" id="{66B8B8A6-5713-44DC-AB2F-9D985BFDA900}"/>
            </a:ext>
          </a:extLst>
        </xdr:cNvPr>
        <xdr:cNvCxnSpPr/>
      </xdr:nvCxnSpPr>
      <xdr:spPr>
        <a:xfrm>
          <a:off x="8570323"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29</xdr:col>
      <xdr:colOff>82731</xdr:colOff>
      <xdr:row>5</xdr:row>
      <xdr:rowOff>133350</xdr:rowOff>
    </xdr:to>
    <xdr:sp macro="" textlink="">
      <xdr:nvSpPr>
        <xdr:cNvPr id="22848" name="직사각형 22847">
          <a:extLst>
            <a:ext uri="{FF2B5EF4-FFF2-40B4-BE49-F238E27FC236}">
              <a16:creationId xmlns:a16="http://schemas.microsoft.com/office/drawing/2014/main" id="{D8657221-8649-4AFF-B5EA-DDFC1D30B8C8}"/>
            </a:ext>
          </a:extLst>
        </xdr:cNvPr>
        <xdr:cNvSpPr/>
      </xdr:nvSpPr>
      <xdr:spPr>
        <a:xfrm>
          <a:off x="8570323" y="925830"/>
          <a:ext cx="2068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29</xdr:col>
      <xdr:colOff>82731</xdr:colOff>
      <xdr:row>5</xdr:row>
      <xdr:rowOff>76200</xdr:rowOff>
    </xdr:to>
    <xdr:cxnSp macro="">
      <xdr:nvCxnSpPr>
        <xdr:cNvPr id="22849" name="직선 화살표 연결선 22848">
          <a:extLst>
            <a:ext uri="{FF2B5EF4-FFF2-40B4-BE49-F238E27FC236}">
              <a16:creationId xmlns:a16="http://schemas.microsoft.com/office/drawing/2014/main" id="{7B71424F-AC24-4E1C-9313-B3AEDA7C7BBD}"/>
            </a:ext>
          </a:extLst>
        </xdr:cNvPr>
        <xdr:cNvCxnSpPr/>
      </xdr:nvCxnSpPr>
      <xdr:spPr>
        <a:xfrm>
          <a:off x="8570323" y="982980"/>
          <a:ext cx="206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34</xdr:col>
      <xdr:colOff>62049</xdr:colOff>
      <xdr:row>4</xdr:row>
      <xdr:rowOff>133350</xdr:rowOff>
    </xdr:to>
    <xdr:sp macro="" textlink="">
      <xdr:nvSpPr>
        <xdr:cNvPr id="22850" name="직사각형 22849">
          <a:extLst>
            <a:ext uri="{FF2B5EF4-FFF2-40B4-BE49-F238E27FC236}">
              <a16:creationId xmlns:a16="http://schemas.microsoft.com/office/drawing/2014/main" id="{59D5554E-DDC6-49C8-8843-0B0C724B62BC}"/>
            </a:ext>
          </a:extLst>
        </xdr:cNvPr>
        <xdr:cNvSpPr/>
      </xdr:nvSpPr>
      <xdr:spPr>
        <a:xfrm>
          <a:off x="8570323" y="773430"/>
          <a:ext cx="9100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32</xdr:col>
      <xdr:colOff>1591</xdr:colOff>
      <xdr:row>4</xdr:row>
      <xdr:rowOff>76200</xdr:rowOff>
    </xdr:to>
    <xdr:cxnSp macro="">
      <xdr:nvCxnSpPr>
        <xdr:cNvPr id="22851" name="직선 화살표 연결선 22850">
          <a:extLst>
            <a:ext uri="{FF2B5EF4-FFF2-40B4-BE49-F238E27FC236}">
              <a16:creationId xmlns:a16="http://schemas.microsoft.com/office/drawing/2014/main" id="{F0A1B2ED-C089-4273-92E0-7B4876BCB883}"/>
            </a:ext>
          </a:extLst>
        </xdr:cNvPr>
        <xdr:cNvCxnSpPr/>
      </xdr:nvCxnSpPr>
      <xdr:spPr>
        <a:xfrm>
          <a:off x="8570323" y="830580"/>
          <a:ext cx="5600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992</v>
      </c>
      <c r="C8" s="101" t="s">
        <v>1147</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1137</v>
      </c>
      <c r="D11" s="99" t="s">
        <v>26</v>
      </c>
      <c r="E11" s="108">
        <v>1</v>
      </c>
      <c r="F11" s="109" t="s">
        <v>27</v>
      </c>
      <c r="G11" s="110">
        <v>43409</v>
      </c>
      <c r="H11" s="109" t="s">
        <v>28</v>
      </c>
      <c r="I11" s="110">
        <v>43452</v>
      </c>
      <c r="J11" s="102" t="s">
        <v>418</v>
      </c>
      <c r="K11" s="102" t="s">
        <v>1173</v>
      </c>
      <c r="L11" s="102" t="s">
        <v>415</v>
      </c>
      <c r="M11" s="102">
        <v>1</v>
      </c>
      <c r="N11" s="107" t="s">
        <v>29</v>
      </c>
      <c r="O11" s="99">
        <v>0</v>
      </c>
      <c r="P11" s="99" t="s">
        <v>30</v>
      </c>
      <c r="Q11" s="107" t="s">
        <v>1138</v>
      </c>
      <c r="R11" s="102" t="s">
        <v>420</v>
      </c>
      <c r="S11" s="102">
        <v>1</v>
      </c>
      <c r="T11" s="102" t="s">
        <v>425</v>
      </c>
      <c r="U11" s="102">
        <v>1</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988</v>
      </c>
      <c r="AE12" s="102">
        <v>1</v>
      </c>
    </row>
    <row r="13" spans="1:64">
      <c r="A13" s="101" t="s">
        <v>402</v>
      </c>
      <c r="B13" s="107" t="s">
        <v>31</v>
      </c>
      <c r="C13" s="99">
        <v>1</v>
      </c>
      <c r="D13" s="107" t="s">
        <v>32</v>
      </c>
      <c r="E13" s="99" t="s">
        <v>1139</v>
      </c>
      <c r="F13" s="99" t="s">
        <v>33</v>
      </c>
      <c r="G13" s="109" t="s">
        <v>1154</v>
      </c>
      <c r="H13" s="109" t="s">
        <v>34</v>
      </c>
      <c r="I13" s="102" t="s">
        <v>1058</v>
      </c>
    </row>
    <row r="14" spans="1:64">
      <c r="A14" s="101" t="s">
        <v>403</v>
      </c>
      <c r="B14" s="108" t="s">
        <v>35</v>
      </c>
      <c r="C14" s="108" t="s">
        <v>1155</v>
      </c>
      <c r="D14" s="108" t="s">
        <v>36</v>
      </c>
      <c r="E14" s="108" t="s">
        <v>1156</v>
      </c>
      <c r="F14" s="108" t="s">
        <v>37</v>
      </c>
      <c r="G14" s="108" t="s">
        <v>1157</v>
      </c>
      <c r="H14" s="108" t="s">
        <v>38</v>
      </c>
      <c r="I14" s="108" t="b">
        <v>0</v>
      </c>
      <c r="J14" s="108" t="s">
        <v>39</v>
      </c>
      <c r="K14" s="108" t="s">
        <v>1158</v>
      </c>
      <c r="L14" s="108" t="s">
        <v>40</v>
      </c>
      <c r="M14" s="108" t="s">
        <v>1131</v>
      </c>
      <c r="N14" s="108" t="s">
        <v>41</v>
      </c>
      <c r="O14" s="108" t="s">
        <v>1130</v>
      </c>
      <c r="P14" s="108" t="s">
        <v>42</v>
      </c>
      <c r="Q14" s="108" t="b">
        <v>0</v>
      </c>
      <c r="R14" s="108" t="s">
        <v>43</v>
      </c>
      <c r="S14" s="108" t="s">
        <v>1159</v>
      </c>
      <c r="T14" s="108" t="s">
        <v>44</v>
      </c>
      <c r="U14" s="108" t="s">
        <v>1160</v>
      </c>
      <c r="V14" s="108" t="s">
        <v>45</v>
      </c>
      <c r="W14" s="108" t="s">
        <v>1130</v>
      </c>
      <c r="X14" s="108" t="s">
        <v>46</v>
      </c>
      <c r="Y14" s="108" t="b">
        <v>1</v>
      </c>
      <c r="Z14" s="108" t="s">
        <v>47</v>
      </c>
      <c r="AA14" s="108" t="s">
        <v>1132</v>
      </c>
      <c r="AB14" s="108" t="s">
        <v>48</v>
      </c>
      <c r="AC14" s="108" t="s">
        <v>1161</v>
      </c>
      <c r="AD14" s="108" t="s">
        <v>49</v>
      </c>
      <c r="AE14" s="108" t="s">
        <v>1162</v>
      </c>
      <c r="AF14" s="108" t="s">
        <v>50</v>
      </c>
      <c r="AG14" s="108" t="b">
        <v>1</v>
      </c>
      <c r="AH14" s="108" t="s">
        <v>51</v>
      </c>
      <c r="AI14" s="108" t="s">
        <v>1140</v>
      </c>
      <c r="AJ14" s="108" t="s">
        <v>52</v>
      </c>
      <c r="AK14" s="108" t="s">
        <v>1094</v>
      </c>
      <c r="AL14" s="108" t="s">
        <v>53</v>
      </c>
      <c r="AM14" s="108" t="s">
        <v>1163</v>
      </c>
      <c r="AN14" s="108" t="s">
        <v>54</v>
      </c>
      <c r="AO14" s="108" t="b">
        <v>0</v>
      </c>
      <c r="AP14" s="108" t="s">
        <v>55</v>
      </c>
      <c r="AQ14" s="108" t="s">
        <v>1092</v>
      </c>
      <c r="AR14" s="108" t="s">
        <v>56</v>
      </c>
      <c r="AS14" s="108" t="s">
        <v>1095</v>
      </c>
      <c r="AT14" s="108" t="s">
        <v>57</v>
      </c>
      <c r="AU14" s="108" t="s">
        <v>1141</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1097</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934</v>
      </c>
      <c r="B1" s="124" t="s">
        <v>935</v>
      </c>
      <c r="C1" s="125" t="s">
        <v>936</v>
      </c>
      <c r="D1" s="125" t="s">
        <v>67</v>
      </c>
      <c r="E1" s="125" t="s">
        <v>68</v>
      </c>
    </row>
    <row r="2" spans="1:5" ht="79.2">
      <c r="A2" s="126" t="s">
        <v>1133</v>
      </c>
      <c r="B2" s="139">
        <v>1</v>
      </c>
      <c r="D2" s="127" t="s">
        <v>937</v>
      </c>
      <c r="E2" s="140" t="s">
        <v>611</v>
      </c>
    </row>
    <row r="3" spans="1:5" ht="112.5" customHeight="1">
      <c r="A3" s="128">
        <v>450</v>
      </c>
      <c r="B3" s="139">
        <v>2</v>
      </c>
      <c r="D3" s="127" t="s">
        <v>537</v>
      </c>
      <c r="E3" s="140" t="s">
        <v>938</v>
      </c>
    </row>
    <row r="4" spans="1:5" ht="52.8">
      <c r="B4" s="139">
        <v>3</v>
      </c>
      <c r="D4" s="127" t="s">
        <v>939</v>
      </c>
      <c r="E4" s="140" t="s">
        <v>612</v>
      </c>
    </row>
    <row r="5" spans="1:5" ht="52.8">
      <c r="B5" s="139">
        <v>4</v>
      </c>
      <c r="D5" s="127" t="s">
        <v>940</v>
      </c>
      <c r="E5" s="140" t="s">
        <v>613</v>
      </c>
    </row>
    <row r="6" spans="1:5" ht="52.8">
      <c r="B6" s="139">
        <v>5</v>
      </c>
      <c r="D6" s="127" t="s">
        <v>941</v>
      </c>
      <c r="E6" s="140" t="s">
        <v>614</v>
      </c>
    </row>
    <row r="7" spans="1:5" ht="39.6">
      <c r="B7" s="139">
        <v>6</v>
      </c>
      <c r="D7" s="127" t="s">
        <v>942</v>
      </c>
      <c r="E7" s="140" t="s">
        <v>615</v>
      </c>
    </row>
    <row r="8" spans="1:5">
      <c r="B8" s="139">
        <v>7</v>
      </c>
      <c r="D8" s="127" t="s">
        <v>928</v>
      </c>
      <c r="E8" s="140" t="s">
        <v>943</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26.4">
      <c r="B15" s="139">
        <v>107</v>
      </c>
      <c r="D15" s="127" t="s">
        <v>456</v>
      </c>
      <c r="E15" s="140" t="s">
        <v>622</v>
      </c>
    </row>
    <row r="16" spans="1:5" ht="39.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944</v>
      </c>
      <c r="D20" s="128" t="s">
        <v>945</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6.4">
      <c r="B24" s="139">
        <v>116</v>
      </c>
      <c r="D24" s="127" t="s">
        <v>458</v>
      </c>
      <c r="E24" s="140" t="s">
        <v>628</v>
      </c>
    </row>
    <row r="25" spans="1:6">
      <c r="B25" s="139">
        <v>117</v>
      </c>
      <c r="D25" s="127" t="s">
        <v>459</v>
      </c>
      <c r="E25" s="140" t="s">
        <v>629</v>
      </c>
    </row>
    <row r="26" spans="1:6" ht="26.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6.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946</v>
      </c>
      <c r="D46" s="127" t="s">
        <v>947</v>
      </c>
      <c r="E46" s="166" t="s">
        <v>948</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c r="B59" s="139">
        <v>151</v>
      </c>
      <c r="D59" s="127" t="s">
        <v>103</v>
      </c>
      <c r="E59" s="140" t="s">
        <v>651</v>
      </c>
    </row>
    <row r="60" spans="1:6">
      <c r="B60" s="139">
        <v>152</v>
      </c>
      <c r="D60" s="127" t="s">
        <v>465</v>
      </c>
      <c r="E60" s="140" t="s">
        <v>652</v>
      </c>
    </row>
    <row r="61" spans="1:6">
      <c r="A61" s="131"/>
      <c r="B61" s="139">
        <v>153</v>
      </c>
      <c r="C61" s="138" t="s">
        <v>532</v>
      </c>
      <c r="D61" s="128" t="s">
        <v>949</v>
      </c>
      <c r="E61" s="128" t="s">
        <v>950</v>
      </c>
      <c r="F61" s="130"/>
    </row>
    <row r="62" spans="1:6" ht="14.4">
      <c r="B62" s="139">
        <v>154</v>
      </c>
      <c r="D62" s="127" t="s">
        <v>104</v>
      </c>
      <c r="E62" s="168" t="s">
        <v>932</v>
      </c>
    </row>
    <row r="63" spans="1:6" ht="14.4">
      <c r="B63" s="139">
        <v>155</v>
      </c>
      <c r="D63" s="127" t="s">
        <v>105</v>
      </c>
      <c r="E63" s="168" t="s">
        <v>951</v>
      </c>
    </row>
    <row r="64" spans="1:6">
      <c r="A64" s="131"/>
      <c r="B64" s="139">
        <v>156</v>
      </c>
      <c r="C64" s="138" t="s">
        <v>952</v>
      </c>
      <c r="D64" s="128" t="s">
        <v>953</v>
      </c>
      <c r="E64" s="128" t="s">
        <v>954</v>
      </c>
      <c r="F64" s="130"/>
    </row>
    <row r="65" spans="1:6">
      <c r="A65" s="131"/>
      <c r="B65" s="139">
        <v>157</v>
      </c>
      <c r="C65" s="138" t="s">
        <v>532</v>
      </c>
      <c r="D65" s="128" t="s">
        <v>955</v>
      </c>
      <c r="E65" s="128" t="s">
        <v>956</v>
      </c>
      <c r="F65" s="130"/>
    </row>
    <row r="66" spans="1:6">
      <c r="A66" s="131"/>
      <c r="B66" s="139">
        <v>158</v>
      </c>
      <c r="C66" s="138" t="s">
        <v>532</v>
      </c>
      <c r="D66" s="128" t="s">
        <v>957</v>
      </c>
      <c r="E66" s="128" t="s">
        <v>958</v>
      </c>
      <c r="F66" s="130"/>
    </row>
    <row r="67" spans="1:6">
      <c r="A67" s="131"/>
      <c r="B67" s="139">
        <v>159</v>
      </c>
      <c r="C67" s="138" t="s">
        <v>952</v>
      </c>
      <c r="D67" s="128" t="s">
        <v>929</v>
      </c>
      <c r="E67" s="128" t="s">
        <v>959</v>
      </c>
      <c r="F67" s="130"/>
    </row>
    <row r="68" spans="1:6">
      <c r="B68" s="139">
        <v>160</v>
      </c>
      <c r="D68" s="127" t="s">
        <v>106</v>
      </c>
      <c r="E68" s="140" t="s">
        <v>960</v>
      </c>
    </row>
    <row r="69" spans="1:6">
      <c r="B69" s="139">
        <v>161</v>
      </c>
      <c r="D69" s="127" t="s">
        <v>107</v>
      </c>
      <c r="E69" s="140" t="s">
        <v>961</v>
      </c>
    </row>
    <row r="70" spans="1:6">
      <c r="B70" s="139">
        <v>162</v>
      </c>
      <c r="D70" s="127" t="s">
        <v>962</v>
      </c>
      <c r="E70" s="140" t="s">
        <v>930</v>
      </c>
    </row>
    <row r="71" spans="1:6">
      <c r="B71" s="139">
        <v>163</v>
      </c>
      <c r="D71" s="127" t="s">
        <v>108</v>
      </c>
      <c r="E71" s="140" t="s">
        <v>963</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6.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6.4">
      <c r="B89" s="139">
        <v>181</v>
      </c>
      <c r="D89" s="127" t="s">
        <v>468</v>
      </c>
      <c r="E89" s="140" t="s">
        <v>668</v>
      </c>
    </row>
    <row r="90" spans="2:5" ht="26.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964</v>
      </c>
    </row>
    <row r="95" spans="2:5">
      <c r="B95" s="139">
        <v>187</v>
      </c>
      <c r="D95" s="127" t="s">
        <v>127</v>
      </c>
      <c r="E95" s="140" t="s">
        <v>670</v>
      </c>
    </row>
    <row r="96" spans="2:5" ht="26.4">
      <c r="B96" s="139">
        <v>188</v>
      </c>
      <c r="D96" s="127" t="s">
        <v>128</v>
      </c>
      <c r="E96" s="140" t="s">
        <v>671</v>
      </c>
    </row>
    <row r="97" spans="2:5" ht="26.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1093</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9.6">
      <c r="B140" s="139">
        <v>232</v>
      </c>
      <c r="D140" s="127" t="s">
        <v>152</v>
      </c>
      <c r="E140" s="140" t="s">
        <v>704</v>
      </c>
    </row>
    <row r="141" spans="2:5">
      <c r="B141" s="139">
        <v>233</v>
      </c>
      <c r="D141" s="127" t="s">
        <v>153</v>
      </c>
      <c r="E141" s="140" t="s">
        <v>705</v>
      </c>
    </row>
    <row r="142" spans="2:5">
      <c r="B142" s="139">
        <v>234</v>
      </c>
      <c r="D142" s="127" t="s">
        <v>154</v>
      </c>
      <c r="E142" s="140" t="s">
        <v>965</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966</v>
      </c>
    </row>
    <row r="162" spans="2:5" ht="26.4">
      <c r="B162" s="139">
        <v>254</v>
      </c>
      <c r="D162" s="127" t="s">
        <v>169</v>
      </c>
      <c r="E162" s="140" t="s">
        <v>719</v>
      </c>
    </row>
    <row r="163" spans="2:5" ht="26.4">
      <c r="B163" s="139">
        <v>255</v>
      </c>
      <c r="D163" s="127" t="s">
        <v>170</v>
      </c>
      <c r="E163" s="140" t="s">
        <v>720</v>
      </c>
    </row>
    <row r="164" spans="2:5" ht="26.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6.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6.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967</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968</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969</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6.4">
      <c r="B207" s="139">
        <v>299</v>
      </c>
      <c r="D207" s="127" t="s">
        <v>203</v>
      </c>
      <c r="E207" s="140" t="s">
        <v>743</v>
      </c>
    </row>
    <row r="208" spans="2:5" ht="26.4">
      <c r="B208" s="139">
        <v>300</v>
      </c>
      <c r="D208" s="127" t="s">
        <v>535</v>
      </c>
      <c r="E208" s="140" t="s">
        <v>744</v>
      </c>
    </row>
    <row r="209" spans="2:5">
      <c r="B209" s="139">
        <v>301</v>
      </c>
      <c r="D209" s="127" t="s">
        <v>536</v>
      </c>
      <c r="E209" s="140" t="s">
        <v>970</v>
      </c>
    </row>
    <row r="210" spans="2:5">
      <c r="B210" s="139">
        <v>302</v>
      </c>
      <c r="D210" s="127" t="s">
        <v>504</v>
      </c>
      <c r="E210" s="140" t="s">
        <v>971</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6.4">
      <c r="B219" s="139">
        <v>311</v>
      </c>
      <c r="D219" s="127" t="s">
        <v>209</v>
      </c>
      <c r="E219" s="140" t="s">
        <v>751</v>
      </c>
    </row>
    <row r="220" spans="2:5">
      <c r="B220" s="139">
        <v>312</v>
      </c>
      <c r="D220" s="127" t="s">
        <v>210</v>
      </c>
      <c r="E220" s="140" t="s">
        <v>752</v>
      </c>
    </row>
    <row r="221" spans="2:5">
      <c r="B221" s="139">
        <v>313</v>
      </c>
      <c r="C221" s="136" t="s">
        <v>946</v>
      </c>
      <c r="D221" s="127" t="s">
        <v>972</v>
      </c>
      <c r="E221" s="166" t="s">
        <v>973</v>
      </c>
    </row>
    <row r="222" spans="2:5">
      <c r="B222" s="139">
        <v>314</v>
      </c>
      <c r="D222" s="127" t="s">
        <v>211</v>
      </c>
      <c r="E222" s="140" t="s">
        <v>974</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9.6">
      <c r="B229" s="139">
        <v>321</v>
      </c>
      <c r="D229" s="127" t="s">
        <v>217</v>
      </c>
      <c r="E229" s="140" t="s">
        <v>758</v>
      </c>
    </row>
    <row r="230" spans="1:6">
      <c r="B230" s="139">
        <v>322</v>
      </c>
      <c r="D230" s="127" t="s">
        <v>218</v>
      </c>
      <c r="E230" s="140" t="s">
        <v>759</v>
      </c>
    </row>
    <row r="231" spans="1:6" ht="26.4">
      <c r="B231" s="139">
        <v>323</v>
      </c>
      <c r="D231" s="127" t="s">
        <v>219</v>
      </c>
      <c r="E231" s="140" t="s">
        <v>760</v>
      </c>
    </row>
    <row r="232" spans="1:6">
      <c r="A232" s="129"/>
      <c r="B232" s="139">
        <v>324</v>
      </c>
      <c r="C232" s="138" t="s">
        <v>532</v>
      </c>
      <c r="D232" s="128" t="s">
        <v>975</v>
      </c>
      <c r="E232" s="128" t="s">
        <v>540</v>
      </c>
      <c r="F232" s="130"/>
    </row>
    <row r="233" spans="1:6">
      <c r="A233" s="129"/>
      <c r="B233" s="139">
        <v>325</v>
      </c>
      <c r="C233" s="138" t="s">
        <v>532</v>
      </c>
      <c r="D233" s="128" t="s">
        <v>976</v>
      </c>
      <c r="E233" s="128" t="s">
        <v>925</v>
      </c>
      <c r="F233" s="130"/>
    </row>
    <row r="234" spans="1:6">
      <c r="A234" s="129"/>
      <c r="B234" s="139">
        <v>326</v>
      </c>
      <c r="C234" s="138" t="s">
        <v>944</v>
      </c>
      <c r="D234" s="128" t="s">
        <v>977</v>
      </c>
      <c r="E234" s="128" t="s">
        <v>978</v>
      </c>
      <c r="F234" s="130"/>
    </row>
    <row r="235" spans="1:6">
      <c r="B235" s="139">
        <v>327</v>
      </c>
      <c r="D235" s="127" t="s">
        <v>220</v>
      </c>
      <c r="E235" s="140" t="s">
        <v>584</v>
      </c>
    </row>
    <row r="236" spans="1:6" ht="14.4">
      <c r="B236" s="139">
        <v>328</v>
      </c>
      <c r="D236" s="127" t="s">
        <v>221</v>
      </c>
      <c r="E236" s="168" t="s">
        <v>931</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6.4">
      <c r="B257" s="139">
        <v>349</v>
      </c>
      <c r="D257" s="127" t="s">
        <v>241</v>
      </c>
      <c r="E257" s="140" t="s">
        <v>774</v>
      </c>
    </row>
    <row r="258" spans="2:5">
      <c r="B258" s="139">
        <v>350</v>
      </c>
      <c r="D258" s="127" t="s">
        <v>242</v>
      </c>
      <c r="E258" s="140" t="s">
        <v>775</v>
      </c>
    </row>
    <row r="259" spans="2:5" ht="26.4">
      <c r="B259" s="139">
        <v>351</v>
      </c>
      <c r="D259" s="127" t="s">
        <v>243</v>
      </c>
      <c r="E259" s="140" t="s">
        <v>776</v>
      </c>
    </row>
    <row r="260" spans="2:5" ht="13.8">
      <c r="B260" s="139">
        <v>352</v>
      </c>
      <c r="D260" s="134" t="s">
        <v>979</v>
      </c>
      <c r="E260" s="167" t="s">
        <v>980</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6.4">
      <c r="B271" s="139">
        <v>363</v>
      </c>
      <c r="D271" s="127" t="s">
        <v>513</v>
      </c>
      <c r="E271" s="140" t="s">
        <v>783</v>
      </c>
    </row>
    <row r="272" spans="2:5" ht="26.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981</v>
      </c>
    </row>
    <row r="288" spans="2:5">
      <c r="B288" s="139">
        <v>380</v>
      </c>
      <c r="D288" s="127" t="s">
        <v>267</v>
      </c>
      <c r="E288" s="140" t="s">
        <v>793</v>
      </c>
    </row>
    <row r="289" spans="2:5">
      <c r="B289" s="139">
        <v>381</v>
      </c>
      <c r="D289" s="127" t="s">
        <v>268</v>
      </c>
      <c r="E289" s="140" t="s">
        <v>600</v>
      </c>
    </row>
    <row r="290" spans="2:5" ht="39.6">
      <c r="B290" s="139">
        <v>382</v>
      </c>
      <c r="D290" s="127" t="s">
        <v>269</v>
      </c>
      <c r="E290" s="140" t="s">
        <v>794</v>
      </c>
    </row>
    <row r="291" spans="2:5">
      <c r="B291" s="139">
        <v>383</v>
      </c>
      <c r="D291" s="127" t="s">
        <v>270</v>
      </c>
      <c r="E291" s="140" t="s">
        <v>795</v>
      </c>
    </row>
    <row r="292" spans="2:5" ht="26.4">
      <c r="B292" s="139">
        <v>384</v>
      </c>
      <c r="D292" s="127" t="s">
        <v>271</v>
      </c>
      <c r="E292" s="140" t="s">
        <v>796</v>
      </c>
    </row>
    <row r="293" spans="2:5">
      <c r="B293" s="139">
        <v>385</v>
      </c>
      <c r="D293" s="127" t="s">
        <v>272</v>
      </c>
      <c r="E293" s="140" t="s">
        <v>797</v>
      </c>
    </row>
    <row r="294" spans="2:5" ht="26.4">
      <c r="B294" s="139">
        <v>386</v>
      </c>
      <c r="D294" s="127" t="s">
        <v>273</v>
      </c>
      <c r="E294" s="140" t="s">
        <v>798</v>
      </c>
    </row>
    <row r="295" spans="2:5" ht="26.4">
      <c r="B295" s="139">
        <v>387</v>
      </c>
      <c r="D295" s="127" t="s">
        <v>274</v>
      </c>
      <c r="E295" s="140" t="s">
        <v>799</v>
      </c>
    </row>
    <row r="296" spans="2:5" ht="26.4">
      <c r="B296" s="139">
        <v>388</v>
      </c>
      <c r="D296" s="127" t="s">
        <v>275</v>
      </c>
      <c r="E296" s="140" t="s">
        <v>800</v>
      </c>
    </row>
    <row r="297" spans="2:5" ht="26.4">
      <c r="B297" s="139">
        <v>389</v>
      </c>
      <c r="D297" s="127" t="s">
        <v>276</v>
      </c>
      <c r="E297" s="140" t="s">
        <v>801</v>
      </c>
    </row>
    <row r="298" spans="2:5" ht="26.4">
      <c r="B298" s="139">
        <v>390</v>
      </c>
      <c r="D298" s="127" t="s">
        <v>277</v>
      </c>
      <c r="E298" s="140" t="s">
        <v>802</v>
      </c>
    </row>
    <row r="299" spans="2:5" ht="26.4">
      <c r="B299" s="139">
        <v>391</v>
      </c>
      <c r="D299" s="127" t="s">
        <v>278</v>
      </c>
      <c r="E299" s="140" t="s">
        <v>803</v>
      </c>
    </row>
    <row r="300" spans="2:5" ht="26.4">
      <c r="B300" s="139">
        <v>392</v>
      </c>
      <c r="D300" s="127" t="s">
        <v>279</v>
      </c>
      <c r="E300" s="140" t="s">
        <v>804</v>
      </c>
    </row>
    <row r="301" spans="2:5" ht="26.4">
      <c r="B301" s="139">
        <v>393</v>
      </c>
      <c r="D301" s="127" t="s">
        <v>280</v>
      </c>
      <c r="E301" s="140" t="s">
        <v>805</v>
      </c>
    </row>
    <row r="302" spans="2:5" ht="26.4">
      <c r="B302" s="139">
        <v>394</v>
      </c>
      <c r="D302" s="127" t="s">
        <v>281</v>
      </c>
      <c r="E302" s="140" t="s">
        <v>806</v>
      </c>
    </row>
    <row r="303" spans="2:5" ht="26.4">
      <c r="B303" s="139">
        <v>395</v>
      </c>
      <c r="D303" s="127" t="s">
        <v>282</v>
      </c>
      <c r="E303" s="140" t="s">
        <v>807</v>
      </c>
    </row>
    <row r="304" spans="2:5" ht="26.4">
      <c r="B304" s="139">
        <v>396</v>
      </c>
      <c r="D304" s="127" t="s">
        <v>283</v>
      </c>
      <c r="E304" s="140" t="s">
        <v>808</v>
      </c>
    </row>
    <row r="305" spans="2:5" ht="26.4">
      <c r="B305" s="139">
        <v>397</v>
      </c>
      <c r="D305" s="127" t="s">
        <v>284</v>
      </c>
      <c r="E305" s="140" t="s">
        <v>809</v>
      </c>
    </row>
    <row r="306" spans="2:5" ht="26.4">
      <c r="B306" s="139">
        <v>398</v>
      </c>
      <c r="D306" s="127" t="s">
        <v>285</v>
      </c>
      <c r="E306" s="140" t="s">
        <v>810</v>
      </c>
    </row>
    <row r="307" spans="2:5" ht="26.4">
      <c r="B307" s="139">
        <v>399</v>
      </c>
      <c r="D307" s="127" t="s">
        <v>286</v>
      </c>
      <c r="E307" s="140" t="s">
        <v>811</v>
      </c>
    </row>
    <row r="308" spans="2:5" ht="26.4">
      <c r="B308" s="139">
        <v>400</v>
      </c>
      <c r="D308" s="127" t="s">
        <v>287</v>
      </c>
      <c r="E308" s="140" t="s">
        <v>812</v>
      </c>
    </row>
    <row r="309" spans="2:5" ht="26.4">
      <c r="B309" s="139">
        <v>401</v>
      </c>
      <c r="D309" s="127" t="s">
        <v>288</v>
      </c>
      <c r="E309" s="140" t="s">
        <v>813</v>
      </c>
    </row>
    <row r="310" spans="2:5" ht="26.4">
      <c r="B310" s="139">
        <v>402</v>
      </c>
      <c r="D310" s="127" t="s">
        <v>289</v>
      </c>
      <c r="E310" s="140" t="s">
        <v>814</v>
      </c>
    </row>
    <row r="311" spans="2:5" ht="26.4">
      <c r="B311" s="139">
        <v>403</v>
      </c>
      <c r="D311" s="127" t="s">
        <v>290</v>
      </c>
      <c r="E311" s="140" t="s">
        <v>815</v>
      </c>
    </row>
    <row r="312" spans="2:5" ht="26.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6.4">
      <c r="B316" s="139">
        <v>408</v>
      </c>
      <c r="D316" s="127" t="s">
        <v>293</v>
      </c>
      <c r="E316" s="140" t="s">
        <v>819</v>
      </c>
    </row>
    <row r="317" spans="2:5">
      <c r="B317" s="139">
        <v>409</v>
      </c>
      <c r="D317" s="127" t="s">
        <v>294</v>
      </c>
      <c r="E317" s="140" t="s">
        <v>820</v>
      </c>
    </row>
    <row r="318" spans="2:5" ht="26.4">
      <c r="B318" s="139">
        <v>410</v>
      </c>
      <c r="D318" s="127" t="s">
        <v>295</v>
      </c>
      <c r="E318" s="140" t="s">
        <v>821</v>
      </c>
    </row>
    <row r="319" spans="2:5">
      <c r="B319" s="139">
        <v>411</v>
      </c>
      <c r="D319" s="127" t="s">
        <v>516</v>
      </c>
      <c r="E319" s="140" t="s">
        <v>822</v>
      </c>
    </row>
    <row r="320" spans="2:5" ht="26.4">
      <c r="B320" s="139">
        <v>412</v>
      </c>
      <c r="D320" s="127" t="s">
        <v>517</v>
      </c>
      <c r="E320" s="140" t="s">
        <v>823</v>
      </c>
    </row>
    <row r="321" spans="1:6">
      <c r="B321" s="139">
        <v>413</v>
      </c>
      <c r="D321" s="127" t="s">
        <v>296</v>
      </c>
      <c r="E321" s="140" t="s">
        <v>824</v>
      </c>
    </row>
    <row r="322" spans="1:6" ht="26.4">
      <c r="B322" s="139">
        <v>414</v>
      </c>
      <c r="D322" s="127" t="s">
        <v>297</v>
      </c>
      <c r="E322" s="140" t="s">
        <v>825</v>
      </c>
    </row>
    <row r="323" spans="1:6">
      <c r="B323" s="139">
        <v>415</v>
      </c>
      <c r="D323" s="127" t="s">
        <v>298</v>
      </c>
      <c r="E323" s="140" t="s">
        <v>826</v>
      </c>
    </row>
    <row r="324" spans="1:6" ht="39.6">
      <c r="B324" s="139">
        <v>416</v>
      </c>
      <c r="D324" s="127" t="s">
        <v>299</v>
      </c>
      <c r="E324" s="140" t="s">
        <v>827</v>
      </c>
    </row>
    <row r="325" spans="1:6">
      <c r="B325" s="139">
        <v>417</v>
      </c>
      <c r="D325" s="127" t="s">
        <v>300</v>
      </c>
      <c r="E325" s="140" t="s">
        <v>828</v>
      </c>
    </row>
    <row r="326" spans="1:6" ht="26.4">
      <c r="B326" s="139">
        <v>418</v>
      </c>
      <c r="D326" s="127" t="s">
        <v>301</v>
      </c>
      <c r="E326" s="140" t="s">
        <v>829</v>
      </c>
    </row>
    <row r="327" spans="1:6" ht="26.4">
      <c r="B327" s="139">
        <v>419</v>
      </c>
      <c r="D327" s="127" t="s">
        <v>302</v>
      </c>
      <c r="E327" s="140" t="s">
        <v>830</v>
      </c>
    </row>
    <row r="328" spans="1:6" ht="26.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43.2">
      <c r="A336" s="134"/>
      <c r="B336" s="139">
        <v>428</v>
      </c>
      <c r="C336" s="137" t="s">
        <v>946</v>
      </c>
      <c r="D336" s="134" t="s">
        <v>982</v>
      </c>
      <c r="E336" s="134" t="s">
        <v>983</v>
      </c>
      <c r="F336" s="135"/>
    </row>
    <row r="337" spans="2:5" ht="39.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6.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6.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9.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6.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6.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26.4">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9.6">
      <c r="B372" s="139">
        <v>464</v>
      </c>
      <c r="D372" s="127" t="s">
        <v>339</v>
      </c>
      <c r="E372" s="140" t="s">
        <v>872</v>
      </c>
    </row>
    <row r="373" spans="1:6">
      <c r="B373" s="139">
        <v>465</v>
      </c>
      <c r="D373" s="127" t="s">
        <v>340</v>
      </c>
      <c r="E373" s="140" t="s">
        <v>873</v>
      </c>
    </row>
    <row r="374" spans="1:6">
      <c r="A374" s="129"/>
      <c r="B374" s="139">
        <v>466</v>
      </c>
      <c r="C374" s="138" t="s">
        <v>532</v>
      </c>
      <c r="D374" s="128" t="s">
        <v>926</v>
      </c>
      <c r="E374" s="128" t="s">
        <v>984</v>
      </c>
      <c r="F374" s="130"/>
    </row>
    <row r="375" spans="1:6">
      <c r="A375" s="129"/>
      <c r="B375" s="139">
        <v>467</v>
      </c>
      <c r="C375" s="138" t="s">
        <v>532</v>
      </c>
      <c r="D375" s="128" t="s">
        <v>985</v>
      </c>
      <c r="E375" s="128" t="s">
        <v>927</v>
      </c>
      <c r="F375" s="130"/>
    </row>
    <row r="376" spans="1:6" ht="14.4">
      <c r="B376" s="139">
        <v>468</v>
      </c>
      <c r="D376" s="127" t="s">
        <v>341</v>
      </c>
      <c r="E376" s="168" t="s">
        <v>933</v>
      </c>
    </row>
    <row r="377" spans="1:6">
      <c r="B377" s="139">
        <v>469</v>
      </c>
      <c r="D377" s="127" t="s">
        <v>342</v>
      </c>
      <c r="E377" s="140" t="s">
        <v>874</v>
      </c>
    </row>
    <row r="378" spans="1:6">
      <c r="B378" s="139">
        <v>470</v>
      </c>
      <c r="D378" s="127" t="s">
        <v>343</v>
      </c>
      <c r="E378" s="140" t="s">
        <v>603</v>
      </c>
    </row>
    <row r="379" spans="1:6" ht="26.4">
      <c r="B379" s="139">
        <v>471</v>
      </c>
      <c r="D379" s="127" t="s">
        <v>344</v>
      </c>
      <c r="E379" s="140" t="s">
        <v>875</v>
      </c>
    </row>
    <row r="380" spans="1:6">
      <c r="B380" s="139">
        <v>472</v>
      </c>
      <c r="D380" s="127" t="s">
        <v>345</v>
      </c>
      <c r="E380" s="140" t="s">
        <v>604</v>
      </c>
    </row>
    <row r="381" spans="1:6" ht="26.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6.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8.8">
      <c r="A408" s="134"/>
      <c r="B408" s="139">
        <v>500</v>
      </c>
      <c r="C408" s="134"/>
      <c r="D408" s="134" t="s">
        <v>986</v>
      </c>
      <c r="E408" s="134" t="s">
        <v>987</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6.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3.8">
      <c r="A422" s="126"/>
      <c r="B422" s="139">
        <v>514</v>
      </c>
      <c r="C422" s="136"/>
      <c r="D422" s="127" t="s">
        <v>377</v>
      </c>
      <c r="E422" s="140" t="s">
        <v>901</v>
      </c>
      <c r="F422" s="126"/>
    </row>
    <row r="423" spans="1:6" s="134" customFormat="1" ht="13.8">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6.4">
      <c r="A425" s="126"/>
      <c r="B425" s="139">
        <v>517</v>
      </c>
      <c r="C425" s="136"/>
      <c r="D425" s="127" t="s">
        <v>380</v>
      </c>
      <c r="E425" s="140" t="s">
        <v>903</v>
      </c>
      <c r="F425" s="126"/>
    </row>
    <row r="426" spans="1:6" s="129" customFormat="1" ht="39.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9.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989</v>
      </c>
      <c r="E435" s="140" t="s">
        <v>1001</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990</v>
      </c>
      <c r="B2" s="94" t="s">
        <v>0</v>
      </c>
      <c r="C2" s="95" t="s">
        <v>995</v>
      </c>
      <c r="D2" s="95">
        <v>43375</v>
      </c>
      <c r="E2" s="96">
        <v>43376</v>
      </c>
      <c r="F2" s="95">
        <v>43375</v>
      </c>
      <c r="G2" s="95">
        <v>43379</v>
      </c>
      <c r="H2" s="92">
        <v>1</v>
      </c>
    </row>
    <row r="3" spans="1:8">
      <c r="A3" s="93" t="s">
        <v>449</v>
      </c>
      <c r="B3" s="94" t="s">
        <v>427</v>
      </c>
      <c r="C3" s="95" t="s">
        <v>995</v>
      </c>
      <c r="D3" s="95">
        <v>43379</v>
      </c>
      <c r="E3" s="96">
        <v>43385</v>
      </c>
      <c r="F3" s="95">
        <v>43375</v>
      </c>
      <c r="G3" s="95">
        <v>43379</v>
      </c>
      <c r="H3" s="92">
        <v>0</v>
      </c>
    </row>
    <row r="4" spans="1:8">
      <c r="A4" s="93" t="s">
        <v>449</v>
      </c>
      <c r="B4" s="94" t="s">
        <v>427</v>
      </c>
      <c r="C4" s="95" t="s">
        <v>991</v>
      </c>
      <c r="D4" s="95">
        <v>43379</v>
      </c>
      <c r="E4" s="96">
        <v>43385</v>
      </c>
      <c r="F4" s="95">
        <v>43375</v>
      </c>
      <c r="G4" s="95">
        <v>43379</v>
      </c>
      <c r="H4" s="92">
        <v>0</v>
      </c>
    </row>
    <row r="5" spans="1:8">
      <c r="A5" s="93" t="s">
        <v>449</v>
      </c>
      <c r="B5" s="94" t="s">
        <v>427</v>
      </c>
      <c r="C5" s="95" t="s">
        <v>1055</v>
      </c>
      <c r="D5" s="95">
        <v>43379</v>
      </c>
      <c r="E5" s="96">
        <v>43385</v>
      </c>
      <c r="F5" s="95">
        <v>43375</v>
      </c>
      <c r="G5" s="95">
        <v>43379</v>
      </c>
      <c r="H5" s="92">
        <v>0</v>
      </c>
    </row>
    <row r="6" spans="1:8">
      <c r="A6" s="93" t="s">
        <v>449</v>
      </c>
      <c r="B6" s="94" t="s">
        <v>427</v>
      </c>
      <c r="C6" s="95" t="s">
        <v>995</v>
      </c>
      <c r="D6" s="95">
        <v>43379</v>
      </c>
      <c r="E6" s="96">
        <v>43385</v>
      </c>
      <c r="F6" s="95">
        <v>43380</v>
      </c>
      <c r="G6" s="95">
        <v>43386</v>
      </c>
      <c r="H6" s="92">
        <v>1.3333333333333333</v>
      </c>
    </row>
    <row r="7" spans="1:8">
      <c r="A7" s="93" t="s">
        <v>449</v>
      </c>
      <c r="B7" s="94" t="s">
        <v>427</v>
      </c>
      <c r="C7" s="95" t="s">
        <v>991</v>
      </c>
      <c r="D7" s="95">
        <v>43379</v>
      </c>
      <c r="E7" s="96">
        <v>43385</v>
      </c>
      <c r="F7" s="95">
        <v>43380</v>
      </c>
      <c r="G7" s="95">
        <v>43386</v>
      </c>
      <c r="H7" s="92">
        <v>1.3333333333333333</v>
      </c>
    </row>
    <row r="8" spans="1:8">
      <c r="A8" s="93" t="s">
        <v>449</v>
      </c>
      <c r="B8" s="94" t="s">
        <v>427</v>
      </c>
      <c r="C8" s="95" t="s">
        <v>1055</v>
      </c>
      <c r="D8" s="95">
        <v>43379</v>
      </c>
      <c r="E8" s="96">
        <v>43385</v>
      </c>
      <c r="F8" s="95">
        <v>43380</v>
      </c>
      <c r="G8" s="95">
        <v>43386</v>
      </c>
      <c r="H8" s="92">
        <v>1.3333333333333333</v>
      </c>
    </row>
    <row r="9" spans="1:8">
      <c r="A9" s="93" t="s">
        <v>450</v>
      </c>
      <c r="B9" s="94" t="s">
        <v>438</v>
      </c>
      <c r="C9" s="95" t="s">
        <v>995</v>
      </c>
      <c r="D9" s="95">
        <v>43397</v>
      </c>
      <c r="E9" s="96">
        <v>43397</v>
      </c>
      <c r="F9" s="95">
        <v>43394</v>
      </c>
      <c r="G9" s="95">
        <v>43400</v>
      </c>
      <c r="H9" s="92">
        <v>1</v>
      </c>
    </row>
    <row r="10" spans="1:8">
      <c r="A10" s="93" t="s">
        <v>431</v>
      </c>
      <c r="B10" s="94" t="s">
        <v>439</v>
      </c>
      <c r="C10" s="95" t="s">
        <v>991</v>
      </c>
      <c r="D10" s="95">
        <v>43400</v>
      </c>
      <c r="E10" s="96">
        <v>43404</v>
      </c>
      <c r="F10" s="95">
        <v>43394</v>
      </c>
      <c r="G10" s="95">
        <v>43400</v>
      </c>
      <c r="H10" s="92">
        <v>0</v>
      </c>
    </row>
    <row r="11" spans="1:8">
      <c r="A11" s="93" t="s">
        <v>431</v>
      </c>
      <c r="B11" s="94" t="s">
        <v>439</v>
      </c>
      <c r="C11" s="95" t="s">
        <v>991</v>
      </c>
      <c r="D11" s="95">
        <v>43400</v>
      </c>
      <c r="E11" s="96">
        <v>43404</v>
      </c>
      <c r="F11" s="95">
        <v>43401</v>
      </c>
      <c r="G11" s="95">
        <v>43407</v>
      </c>
      <c r="H11" s="92">
        <v>3</v>
      </c>
    </row>
    <row r="12" spans="1:8">
      <c r="A12" s="93" t="s">
        <v>432</v>
      </c>
      <c r="B12" s="94" t="s">
        <v>440</v>
      </c>
      <c r="C12" s="95" t="s">
        <v>991</v>
      </c>
      <c r="D12" s="95">
        <v>43432</v>
      </c>
      <c r="E12" s="96">
        <v>43432</v>
      </c>
      <c r="F12" s="95">
        <v>43429</v>
      </c>
      <c r="G12" s="95">
        <v>43435</v>
      </c>
      <c r="H12" s="92">
        <v>1</v>
      </c>
    </row>
    <row r="13" spans="1:8">
      <c r="A13" s="93" t="s">
        <v>433</v>
      </c>
      <c r="B13" s="94" t="s">
        <v>441</v>
      </c>
      <c r="C13" s="95" t="s">
        <v>1117</v>
      </c>
      <c r="D13" s="95">
        <v>43468</v>
      </c>
      <c r="E13" s="96">
        <v>43493</v>
      </c>
      <c r="F13" s="95">
        <v>43464</v>
      </c>
      <c r="G13" s="95">
        <v>43470</v>
      </c>
      <c r="H13" s="92">
        <v>2</v>
      </c>
    </row>
    <row r="14" spans="1:8">
      <c r="A14" s="93" t="s">
        <v>433</v>
      </c>
      <c r="B14" s="94" t="s">
        <v>441</v>
      </c>
      <c r="C14" s="95" t="s">
        <v>1117</v>
      </c>
      <c r="D14" s="95">
        <v>43468</v>
      </c>
      <c r="E14" s="96">
        <v>43493</v>
      </c>
      <c r="F14" s="95">
        <v>43471</v>
      </c>
      <c r="G14" s="95">
        <v>43477</v>
      </c>
      <c r="H14" s="92">
        <v>5</v>
      </c>
    </row>
    <row r="15" spans="1:8">
      <c r="A15" s="93" t="s">
        <v>433</v>
      </c>
      <c r="B15" s="94" t="s">
        <v>441</v>
      </c>
      <c r="C15" s="95" t="s">
        <v>1117</v>
      </c>
      <c r="D15" s="95">
        <v>43468</v>
      </c>
      <c r="E15" s="96">
        <v>43493</v>
      </c>
      <c r="F15" s="95">
        <v>43478</v>
      </c>
      <c r="G15" s="95">
        <v>43484</v>
      </c>
      <c r="H15" s="92">
        <v>5</v>
      </c>
    </row>
    <row r="16" spans="1:8">
      <c r="A16" s="93" t="s">
        <v>433</v>
      </c>
      <c r="B16" s="94" t="s">
        <v>441</v>
      </c>
      <c r="C16" s="95" t="s">
        <v>1117</v>
      </c>
      <c r="D16" s="95">
        <v>43468</v>
      </c>
      <c r="E16" s="96">
        <v>43493</v>
      </c>
      <c r="F16" s="95">
        <v>43485</v>
      </c>
      <c r="G16" s="95">
        <v>43491</v>
      </c>
      <c r="H16" s="92">
        <v>5</v>
      </c>
    </row>
    <row r="17" spans="1:8">
      <c r="A17" s="93" t="s">
        <v>433</v>
      </c>
      <c r="B17" s="94" t="s">
        <v>441</v>
      </c>
      <c r="C17" s="95" t="s">
        <v>1117</v>
      </c>
      <c r="D17" s="95">
        <v>43468</v>
      </c>
      <c r="E17" s="96">
        <v>43493</v>
      </c>
      <c r="F17" s="95">
        <v>43492</v>
      </c>
      <c r="G17" s="95">
        <v>43498</v>
      </c>
      <c r="H17" s="92">
        <v>1</v>
      </c>
    </row>
    <row r="18" spans="1:8">
      <c r="A18" s="93" t="s">
        <v>434</v>
      </c>
      <c r="B18" s="94" t="s">
        <v>1002</v>
      </c>
      <c r="C18" s="95" t="s">
        <v>1117</v>
      </c>
      <c r="D18" s="95">
        <v>43397</v>
      </c>
      <c r="E18" s="96">
        <v>43397</v>
      </c>
      <c r="F18" s="95">
        <v>43394</v>
      </c>
      <c r="G18" s="95">
        <v>43400</v>
      </c>
      <c r="H18" s="92">
        <v>1</v>
      </c>
    </row>
    <row r="19" spans="1:8">
      <c r="A19" s="93" t="s">
        <v>435</v>
      </c>
      <c r="B19" s="94" t="s">
        <v>442</v>
      </c>
      <c r="C19" s="95" t="s">
        <v>995</v>
      </c>
      <c r="D19" s="95">
        <v>43501</v>
      </c>
      <c r="E19" s="96">
        <v>43505</v>
      </c>
      <c r="F19" s="95">
        <v>43499</v>
      </c>
      <c r="G19" s="95">
        <v>43505</v>
      </c>
      <c r="H19" s="92">
        <v>2</v>
      </c>
    </row>
    <row r="20" spans="1:8">
      <c r="A20" s="93" t="s">
        <v>436</v>
      </c>
      <c r="B20" s="94" t="s">
        <v>443</v>
      </c>
      <c r="C20" s="95" t="s">
        <v>995</v>
      </c>
      <c r="D20" s="95">
        <v>43508</v>
      </c>
      <c r="E20" s="96">
        <v>43526</v>
      </c>
      <c r="F20" s="95">
        <v>43506</v>
      </c>
      <c r="G20" s="95">
        <v>43512</v>
      </c>
      <c r="H20" s="92">
        <v>4</v>
      </c>
    </row>
    <row r="21" spans="1:8">
      <c r="A21" s="93" t="s">
        <v>436</v>
      </c>
      <c r="B21" s="94" t="s">
        <v>443</v>
      </c>
      <c r="C21" s="95" t="s">
        <v>995</v>
      </c>
      <c r="D21" s="95">
        <v>43508</v>
      </c>
      <c r="E21" s="96">
        <v>43526</v>
      </c>
      <c r="F21" s="95">
        <v>43513</v>
      </c>
      <c r="G21" s="95">
        <v>43519</v>
      </c>
      <c r="H21" s="92">
        <v>5</v>
      </c>
    </row>
    <row r="22" spans="1:8">
      <c r="A22" s="93" t="s">
        <v>436</v>
      </c>
      <c r="B22" s="94" t="s">
        <v>443</v>
      </c>
      <c r="C22" s="95" t="s">
        <v>995</v>
      </c>
      <c r="D22" s="95">
        <v>43508</v>
      </c>
      <c r="E22" s="96">
        <v>43526</v>
      </c>
      <c r="F22" s="95">
        <v>43520</v>
      </c>
      <c r="G22" s="95">
        <v>43526</v>
      </c>
      <c r="H22" s="92">
        <v>4</v>
      </c>
    </row>
    <row r="23" spans="1:8">
      <c r="A23" s="93" t="s">
        <v>437</v>
      </c>
      <c r="B23" s="94" t="s">
        <v>444</v>
      </c>
      <c r="C23" s="95" t="s">
        <v>995</v>
      </c>
      <c r="D23" s="95">
        <v>43526</v>
      </c>
      <c r="E23" s="96">
        <v>43526</v>
      </c>
      <c r="F23" s="95">
        <v>43520</v>
      </c>
      <c r="G23" s="95">
        <v>43526</v>
      </c>
      <c r="H23" s="92">
        <v>0</v>
      </c>
    </row>
    <row r="24" spans="1:8">
      <c r="A24" s="93" t="s">
        <v>451</v>
      </c>
      <c r="B24" s="94" t="s">
        <v>445</v>
      </c>
      <c r="C24" s="95" t="s">
        <v>995</v>
      </c>
      <c r="D24" s="95">
        <v>43526</v>
      </c>
      <c r="E24" s="96">
        <v>43526</v>
      </c>
      <c r="F24" s="95">
        <v>43520</v>
      </c>
      <c r="G24" s="95">
        <v>43526</v>
      </c>
      <c r="H24" s="92">
        <v>0</v>
      </c>
    </row>
    <row r="25" spans="1:8">
      <c r="A25" s="93" t="s">
        <v>996</v>
      </c>
      <c r="B25" s="94" t="s">
        <v>446</v>
      </c>
      <c r="C25" s="95" t="s">
        <v>1056</v>
      </c>
      <c r="D25" s="95">
        <v>43379</v>
      </c>
      <c r="E25" s="96">
        <v>43397</v>
      </c>
      <c r="F25" s="95">
        <v>43375</v>
      </c>
      <c r="G25" s="95">
        <v>43379</v>
      </c>
      <c r="H25" s="92">
        <v>0</v>
      </c>
    </row>
    <row r="26" spans="1:8">
      <c r="A26" s="93" t="s">
        <v>996</v>
      </c>
      <c r="B26" s="94" t="s">
        <v>446</v>
      </c>
      <c r="C26" s="95" t="s">
        <v>1048</v>
      </c>
      <c r="D26" s="95">
        <v>43379</v>
      </c>
      <c r="E26" s="96">
        <v>43397</v>
      </c>
      <c r="F26" s="95">
        <v>43375</v>
      </c>
      <c r="G26" s="95">
        <v>43379</v>
      </c>
      <c r="H26" s="92">
        <v>0</v>
      </c>
    </row>
    <row r="27" spans="1:8">
      <c r="A27" s="93" t="s">
        <v>996</v>
      </c>
      <c r="B27" s="94" t="s">
        <v>446</v>
      </c>
      <c r="C27" s="95" t="s">
        <v>1057</v>
      </c>
      <c r="D27" s="95">
        <v>43379</v>
      </c>
      <c r="E27" s="96">
        <v>43397</v>
      </c>
      <c r="F27" s="95">
        <v>43375</v>
      </c>
      <c r="G27" s="95">
        <v>43379</v>
      </c>
      <c r="H27" s="92">
        <v>0</v>
      </c>
    </row>
    <row r="28" spans="1:8">
      <c r="A28" s="93" t="s">
        <v>996</v>
      </c>
      <c r="B28" s="94" t="s">
        <v>446</v>
      </c>
      <c r="C28" s="95" t="s">
        <v>1056</v>
      </c>
      <c r="D28" s="95">
        <v>43379</v>
      </c>
      <c r="E28" s="96">
        <v>43397</v>
      </c>
      <c r="F28" s="95">
        <v>43380</v>
      </c>
      <c r="G28" s="95">
        <v>43386</v>
      </c>
      <c r="H28" s="92">
        <v>1.3333333333333333</v>
      </c>
    </row>
    <row r="29" spans="1:8">
      <c r="A29" s="93" t="s">
        <v>996</v>
      </c>
      <c r="B29" s="94" t="s">
        <v>446</v>
      </c>
      <c r="C29" s="95" t="s">
        <v>1048</v>
      </c>
      <c r="D29" s="95">
        <v>43379</v>
      </c>
      <c r="E29" s="96">
        <v>43397</v>
      </c>
      <c r="F29" s="95">
        <v>43380</v>
      </c>
      <c r="G29" s="95">
        <v>43386</v>
      </c>
      <c r="H29" s="92">
        <v>1.3333333333333333</v>
      </c>
    </row>
    <row r="30" spans="1:8">
      <c r="A30" s="93" t="s">
        <v>996</v>
      </c>
      <c r="B30" s="94" t="s">
        <v>446</v>
      </c>
      <c r="C30" s="95" t="s">
        <v>1057</v>
      </c>
      <c r="D30" s="95">
        <v>43379</v>
      </c>
      <c r="E30" s="96">
        <v>43397</v>
      </c>
      <c r="F30" s="95">
        <v>43380</v>
      </c>
      <c r="G30" s="95">
        <v>43386</v>
      </c>
      <c r="H30" s="92">
        <v>1.3333333333333333</v>
      </c>
    </row>
    <row r="31" spans="1:8">
      <c r="A31" s="93" t="s">
        <v>996</v>
      </c>
      <c r="B31" s="94" t="s">
        <v>446</v>
      </c>
      <c r="C31" s="95" t="s">
        <v>1056</v>
      </c>
      <c r="D31" s="95">
        <v>43379</v>
      </c>
      <c r="E31" s="96">
        <v>43397</v>
      </c>
      <c r="F31" s="95">
        <v>43387</v>
      </c>
      <c r="G31" s="95">
        <v>43393</v>
      </c>
      <c r="H31" s="92">
        <v>1.6666666666666667</v>
      </c>
    </row>
    <row r="32" spans="1:8">
      <c r="A32" s="93" t="s">
        <v>996</v>
      </c>
      <c r="B32" s="94" t="s">
        <v>446</v>
      </c>
      <c r="C32" s="95" t="s">
        <v>1048</v>
      </c>
      <c r="D32" s="95">
        <v>43379</v>
      </c>
      <c r="E32" s="96">
        <v>43397</v>
      </c>
      <c r="F32" s="95">
        <v>43387</v>
      </c>
      <c r="G32" s="95">
        <v>43393</v>
      </c>
      <c r="H32" s="92">
        <v>1.6666666666666667</v>
      </c>
    </row>
    <row r="33" spans="1:8">
      <c r="A33" s="93" t="s">
        <v>996</v>
      </c>
      <c r="B33" s="94" t="s">
        <v>446</v>
      </c>
      <c r="C33" s="95" t="s">
        <v>1057</v>
      </c>
      <c r="D33" s="95">
        <v>43379</v>
      </c>
      <c r="E33" s="96">
        <v>43397</v>
      </c>
      <c r="F33" s="95">
        <v>43387</v>
      </c>
      <c r="G33" s="95">
        <v>43393</v>
      </c>
      <c r="H33" s="92">
        <v>1.6666666666666667</v>
      </c>
    </row>
    <row r="34" spans="1:8">
      <c r="A34" s="93" t="s">
        <v>996</v>
      </c>
      <c r="B34" s="94" t="s">
        <v>446</v>
      </c>
      <c r="C34" s="95" t="s">
        <v>1056</v>
      </c>
      <c r="D34" s="95">
        <v>43379</v>
      </c>
      <c r="E34" s="96">
        <v>43397</v>
      </c>
      <c r="F34" s="95">
        <v>43394</v>
      </c>
      <c r="G34" s="95">
        <v>43400</v>
      </c>
      <c r="H34" s="92">
        <v>1</v>
      </c>
    </row>
    <row r="35" spans="1:8">
      <c r="A35" s="93" t="s">
        <v>996</v>
      </c>
      <c r="B35" s="94" t="s">
        <v>446</v>
      </c>
      <c r="C35" s="95" t="s">
        <v>1048</v>
      </c>
      <c r="D35" s="95">
        <v>43379</v>
      </c>
      <c r="E35" s="96">
        <v>43397</v>
      </c>
      <c r="F35" s="95">
        <v>43394</v>
      </c>
      <c r="G35" s="95">
        <v>43400</v>
      </c>
      <c r="H35" s="92">
        <v>1</v>
      </c>
    </row>
    <row r="36" spans="1:8">
      <c r="A36" s="93" t="s">
        <v>996</v>
      </c>
      <c r="B36" s="94" t="s">
        <v>446</v>
      </c>
      <c r="C36" s="95" t="s">
        <v>1057</v>
      </c>
      <c r="D36" s="95">
        <v>43379</v>
      </c>
      <c r="E36" s="96">
        <v>43397</v>
      </c>
      <c r="F36" s="95">
        <v>43394</v>
      </c>
      <c r="G36" s="95">
        <v>43400</v>
      </c>
      <c r="H36" s="92">
        <v>1</v>
      </c>
    </row>
    <row r="37" spans="1:8">
      <c r="A37" s="93" t="s">
        <v>997</v>
      </c>
      <c r="B37" s="94" t="s">
        <v>447</v>
      </c>
      <c r="C37" s="95" t="s">
        <v>1048</v>
      </c>
      <c r="D37" s="95">
        <v>43385</v>
      </c>
      <c r="E37" s="96">
        <v>43396</v>
      </c>
      <c r="F37" s="95">
        <v>43380</v>
      </c>
      <c r="G37" s="95">
        <v>43386</v>
      </c>
      <c r="H37" s="92">
        <v>1</v>
      </c>
    </row>
    <row r="38" spans="1:8">
      <c r="A38" s="93" t="s">
        <v>997</v>
      </c>
      <c r="B38" s="94" t="s">
        <v>447</v>
      </c>
      <c r="C38" s="95" t="s">
        <v>1048</v>
      </c>
      <c r="D38" s="95">
        <v>43385</v>
      </c>
      <c r="E38" s="96">
        <v>43396</v>
      </c>
      <c r="F38" s="95">
        <v>43387</v>
      </c>
      <c r="G38" s="95">
        <v>43393</v>
      </c>
      <c r="H38" s="92">
        <v>5</v>
      </c>
    </row>
    <row r="39" spans="1:8">
      <c r="A39" s="93" t="s">
        <v>997</v>
      </c>
      <c r="B39" s="94" t="s">
        <v>447</v>
      </c>
      <c r="C39" s="95" t="s">
        <v>1048</v>
      </c>
      <c r="D39" s="95">
        <v>43385</v>
      </c>
      <c r="E39" s="96">
        <v>43396</v>
      </c>
      <c r="F39" s="95">
        <v>43394</v>
      </c>
      <c r="G39" s="95">
        <v>43400</v>
      </c>
      <c r="H39" s="92">
        <v>2</v>
      </c>
    </row>
    <row r="40" spans="1:8">
      <c r="A40" s="93" t="s">
        <v>998</v>
      </c>
      <c r="B40" s="94" t="s">
        <v>448</v>
      </c>
      <c r="C40" s="95" t="s">
        <v>1048</v>
      </c>
      <c r="D40" s="95">
        <v>43385</v>
      </c>
      <c r="E40" s="96">
        <v>43396</v>
      </c>
      <c r="F40" s="95">
        <v>43380</v>
      </c>
      <c r="G40" s="95">
        <v>43386</v>
      </c>
      <c r="H40" s="92">
        <v>1</v>
      </c>
    </row>
    <row r="41" spans="1:8">
      <c r="A41" s="93" t="s">
        <v>998</v>
      </c>
      <c r="B41" s="94" t="s">
        <v>448</v>
      </c>
      <c r="C41" s="95" t="s">
        <v>1048</v>
      </c>
      <c r="D41" s="95">
        <v>43385</v>
      </c>
      <c r="E41" s="96">
        <v>43396</v>
      </c>
      <c r="F41" s="95">
        <v>43387</v>
      </c>
      <c r="G41" s="95">
        <v>43393</v>
      </c>
      <c r="H41" s="92">
        <v>5</v>
      </c>
    </row>
    <row r="42" spans="1:8">
      <c r="A42" s="93" t="s">
        <v>998</v>
      </c>
      <c r="B42" s="94" t="s">
        <v>448</v>
      </c>
      <c r="C42" s="95" t="s">
        <v>1048</v>
      </c>
      <c r="D42" s="95">
        <v>43385</v>
      </c>
      <c r="E42" s="96">
        <v>43396</v>
      </c>
      <c r="F42" s="95">
        <v>43394</v>
      </c>
      <c r="G42" s="95">
        <v>43400</v>
      </c>
      <c r="H42" s="92">
        <v>2</v>
      </c>
    </row>
    <row r="43" spans="1:8">
      <c r="A43" s="93" t="s">
        <v>999</v>
      </c>
      <c r="B43" s="94" t="s">
        <v>1006</v>
      </c>
      <c r="C43" s="95" t="s">
        <v>1049</v>
      </c>
      <c r="D43" s="95">
        <v>43399</v>
      </c>
      <c r="E43" s="96">
        <v>43417</v>
      </c>
      <c r="F43" s="95">
        <v>43394</v>
      </c>
      <c r="G43" s="95">
        <v>43400</v>
      </c>
      <c r="H43" s="92">
        <v>1</v>
      </c>
    </row>
    <row r="44" spans="1:8">
      <c r="A44" s="93" t="s">
        <v>999</v>
      </c>
      <c r="B44" s="94" t="s">
        <v>1006</v>
      </c>
      <c r="C44" s="95" t="s">
        <v>1049</v>
      </c>
      <c r="D44" s="95">
        <v>43399</v>
      </c>
      <c r="E44" s="96">
        <v>43417</v>
      </c>
      <c r="F44" s="95">
        <v>43401</v>
      </c>
      <c r="G44" s="95">
        <v>43407</v>
      </c>
      <c r="H44" s="92">
        <v>5</v>
      </c>
    </row>
    <row r="45" spans="1:8">
      <c r="A45" s="93" t="s">
        <v>999</v>
      </c>
      <c r="B45" s="94" t="s">
        <v>1006</v>
      </c>
      <c r="C45" s="95" t="s">
        <v>1049</v>
      </c>
      <c r="D45" s="95">
        <v>43399</v>
      </c>
      <c r="E45" s="96">
        <v>43417</v>
      </c>
      <c r="F45" s="95">
        <v>43408</v>
      </c>
      <c r="G45" s="95">
        <v>43414</v>
      </c>
      <c r="H45" s="92">
        <v>5</v>
      </c>
    </row>
    <row r="46" spans="1:8">
      <c r="A46" s="93" t="s">
        <v>999</v>
      </c>
      <c r="B46" s="94" t="s">
        <v>1006</v>
      </c>
      <c r="C46" s="95" t="s">
        <v>1049</v>
      </c>
      <c r="D46" s="95">
        <v>43399</v>
      </c>
      <c r="E46" s="96">
        <v>43417</v>
      </c>
      <c r="F46" s="95">
        <v>43415</v>
      </c>
      <c r="G46" s="95">
        <v>43421</v>
      </c>
      <c r="H46" s="92">
        <v>2</v>
      </c>
    </row>
    <row r="47" spans="1:8">
      <c r="A47" s="93" t="s">
        <v>1008</v>
      </c>
      <c r="B47" s="94" t="s">
        <v>1009</v>
      </c>
      <c r="C47" s="95" t="s">
        <v>1050</v>
      </c>
      <c r="D47" s="95">
        <v>43406</v>
      </c>
      <c r="E47" s="96">
        <v>43417</v>
      </c>
      <c r="F47" s="95">
        <v>43401</v>
      </c>
      <c r="G47" s="95">
        <v>43407</v>
      </c>
      <c r="H47" s="92">
        <v>1</v>
      </c>
    </row>
    <row r="48" spans="1:8">
      <c r="A48" s="93" t="s">
        <v>1008</v>
      </c>
      <c r="B48" s="94" t="s">
        <v>1009</v>
      </c>
      <c r="C48" s="95" t="s">
        <v>1050</v>
      </c>
      <c r="D48" s="95">
        <v>43406</v>
      </c>
      <c r="E48" s="96">
        <v>43417</v>
      </c>
      <c r="F48" s="95">
        <v>43408</v>
      </c>
      <c r="G48" s="95">
        <v>43414</v>
      </c>
      <c r="H48" s="92">
        <v>5</v>
      </c>
    </row>
    <row r="49" spans="1:8">
      <c r="A49" s="93" t="s">
        <v>1008</v>
      </c>
      <c r="B49" s="94" t="s">
        <v>1009</v>
      </c>
      <c r="C49" s="95" t="s">
        <v>1050</v>
      </c>
      <c r="D49" s="95">
        <v>43406</v>
      </c>
      <c r="E49" s="96">
        <v>43417</v>
      </c>
      <c r="F49" s="95">
        <v>43415</v>
      </c>
      <c r="G49" s="95">
        <v>43421</v>
      </c>
      <c r="H49" s="92">
        <v>2</v>
      </c>
    </row>
    <row r="50" spans="1:8">
      <c r="A50" s="93" t="s">
        <v>1010</v>
      </c>
      <c r="B50" s="94" t="s">
        <v>1011</v>
      </c>
      <c r="C50" s="95" t="s">
        <v>1051</v>
      </c>
      <c r="D50" s="95">
        <v>43413</v>
      </c>
      <c r="E50" s="96">
        <v>43424</v>
      </c>
      <c r="F50" s="95">
        <v>43408</v>
      </c>
      <c r="G50" s="95">
        <v>43414</v>
      </c>
      <c r="H50" s="92">
        <v>1</v>
      </c>
    </row>
    <row r="51" spans="1:8">
      <c r="A51" s="93" t="s">
        <v>1010</v>
      </c>
      <c r="B51" s="94" t="s">
        <v>1011</v>
      </c>
      <c r="C51" s="95" t="s">
        <v>1051</v>
      </c>
      <c r="D51" s="95">
        <v>43413</v>
      </c>
      <c r="E51" s="96">
        <v>43424</v>
      </c>
      <c r="F51" s="95">
        <v>43415</v>
      </c>
      <c r="G51" s="95">
        <v>43421</v>
      </c>
      <c r="H51" s="92">
        <v>5</v>
      </c>
    </row>
    <row r="52" spans="1:8">
      <c r="A52" s="93" t="s">
        <v>1010</v>
      </c>
      <c r="B52" s="94" t="s">
        <v>1011</v>
      </c>
      <c r="C52" s="95" t="s">
        <v>1051</v>
      </c>
      <c r="D52" s="95">
        <v>43413</v>
      </c>
      <c r="E52" s="96">
        <v>43424</v>
      </c>
      <c r="F52" s="95">
        <v>43422</v>
      </c>
      <c r="G52" s="95">
        <v>43428</v>
      </c>
      <c r="H52" s="92">
        <v>2</v>
      </c>
    </row>
    <row r="53" spans="1:8">
      <c r="A53" s="93" t="s">
        <v>1012</v>
      </c>
      <c r="B53" s="94" t="s">
        <v>1013</v>
      </c>
      <c r="C53" s="95" t="s">
        <v>1052</v>
      </c>
      <c r="D53" s="95">
        <v>43413</v>
      </c>
      <c r="E53" s="96">
        <v>43431</v>
      </c>
      <c r="F53" s="95">
        <v>43408</v>
      </c>
      <c r="G53" s="95">
        <v>43414</v>
      </c>
      <c r="H53" s="92">
        <v>1</v>
      </c>
    </row>
    <row r="54" spans="1:8">
      <c r="A54" s="93" t="s">
        <v>1012</v>
      </c>
      <c r="B54" s="94" t="s">
        <v>1013</v>
      </c>
      <c r="C54" s="95" t="s">
        <v>1052</v>
      </c>
      <c r="D54" s="95">
        <v>43413</v>
      </c>
      <c r="E54" s="96">
        <v>43431</v>
      </c>
      <c r="F54" s="95">
        <v>43415</v>
      </c>
      <c r="G54" s="95">
        <v>43421</v>
      </c>
      <c r="H54" s="92">
        <v>5</v>
      </c>
    </row>
    <row r="55" spans="1:8">
      <c r="A55" s="93" t="s">
        <v>1012</v>
      </c>
      <c r="B55" s="94" t="s">
        <v>1013</v>
      </c>
      <c r="C55" s="95" t="s">
        <v>1052</v>
      </c>
      <c r="D55" s="95">
        <v>43413</v>
      </c>
      <c r="E55" s="96">
        <v>43431</v>
      </c>
      <c r="F55" s="95">
        <v>43422</v>
      </c>
      <c r="G55" s="95">
        <v>43428</v>
      </c>
      <c r="H55" s="92">
        <v>5</v>
      </c>
    </row>
    <row r="56" spans="1:8">
      <c r="A56" s="93" t="s">
        <v>1012</v>
      </c>
      <c r="B56" s="94" t="s">
        <v>1013</v>
      </c>
      <c r="C56" s="95" t="s">
        <v>1052</v>
      </c>
      <c r="D56" s="95">
        <v>43413</v>
      </c>
      <c r="E56" s="96">
        <v>43431</v>
      </c>
      <c r="F56" s="95">
        <v>43429</v>
      </c>
      <c r="G56" s="95">
        <v>43435</v>
      </c>
      <c r="H56" s="92">
        <v>2</v>
      </c>
    </row>
    <row r="57" spans="1:8">
      <c r="A57" s="93" t="s">
        <v>1000</v>
      </c>
      <c r="B57" s="94" t="s">
        <v>1014</v>
      </c>
      <c r="C57" s="95" t="s">
        <v>1052</v>
      </c>
      <c r="D57" s="95">
        <v>43434</v>
      </c>
      <c r="E57" s="96">
        <v>43438</v>
      </c>
      <c r="F57" s="95">
        <v>43429</v>
      </c>
      <c r="G57" s="95">
        <v>43435</v>
      </c>
      <c r="H57" s="92">
        <v>1</v>
      </c>
    </row>
    <row r="58" spans="1:8">
      <c r="A58" s="93" t="s">
        <v>1000</v>
      </c>
      <c r="B58" s="94" t="s">
        <v>1014</v>
      </c>
      <c r="C58" s="95" t="s">
        <v>1052</v>
      </c>
      <c r="D58" s="95">
        <v>43434</v>
      </c>
      <c r="E58" s="96">
        <v>43438</v>
      </c>
      <c r="F58" s="95">
        <v>43436</v>
      </c>
      <c r="G58" s="95">
        <v>43442</v>
      </c>
      <c r="H58" s="92">
        <v>2</v>
      </c>
    </row>
    <row r="59" spans="1:8">
      <c r="A59" s="93" t="s">
        <v>1017</v>
      </c>
      <c r="B59" s="94" t="s">
        <v>1018</v>
      </c>
      <c r="C59" s="95" t="s">
        <v>1052</v>
      </c>
      <c r="D59" s="95">
        <v>43434</v>
      </c>
      <c r="E59" s="96">
        <v>43438</v>
      </c>
      <c r="F59" s="95">
        <v>43429</v>
      </c>
      <c r="G59" s="95">
        <v>43435</v>
      </c>
      <c r="H59" s="92">
        <v>1</v>
      </c>
    </row>
    <row r="60" spans="1:8">
      <c r="A60" s="93" t="s">
        <v>1017</v>
      </c>
      <c r="B60" s="94" t="s">
        <v>1018</v>
      </c>
      <c r="C60" s="95" t="s">
        <v>1052</v>
      </c>
      <c r="D60" s="95">
        <v>43434</v>
      </c>
      <c r="E60" s="96">
        <v>43438</v>
      </c>
      <c r="F60" s="95">
        <v>43436</v>
      </c>
      <c r="G60" s="95">
        <v>43442</v>
      </c>
      <c r="H60" s="92">
        <v>2</v>
      </c>
    </row>
    <row r="61" spans="1:8">
      <c r="A61" s="93" t="s">
        <v>1020</v>
      </c>
      <c r="B61" s="94" t="s">
        <v>1021</v>
      </c>
      <c r="C61" s="95" t="s">
        <v>1053</v>
      </c>
      <c r="D61" s="95">
        <v>43434</v>
      </c>
      <c r="E61" s="96">
        <v>43438</v>
      </c>
      <c r="F61" s="95">
        <v>43429</v>
      </c>
      <c r="G61" s="95">
        <v>43435</v>
      </c>
      <c r="H61" s="92">
        <v>1</v>
      </c>
    </row>
    <row r="62" spans="1:8">
      <c r="A62" s="93" t="s">
        <v>1020</v>
      </c>
      <c r="B62" s="94" t="s">
        <v>1021</v>
      </c>
      <c r="C62" s="95" t="s">
        <v>1053</v>
      </c>
      <c r="D62" s="95">
        <v>43434</v>
      </c>
      <c r="E62" s="96">
        <v>43438</v>
      </c>
      <c r="F62" s="95">
        <v>43436</v>
      </c>
      <c r="G62" s="95">
        <v>43442</v>
      </c>
      <c r="H62" s="92">
        <v>2</v>
      </c>
    </row>
    <row r="63" spans="1:8">
      <c r="A63" s="93" t="s">
        <v>1022</v>
      </c>
      <c r="B63" s="94" t="s">
        <v>1023</v>
      </c>
      <c r="C63" s="95" t="s">
        <v>1054</v>
      </c>
      <c r="D63" s="95">
        <v>43441</v>
      </c>
      <c r="E63" s="96">
        <v>43445</v>
      </c>
      <c r="F63" s="95">
        <v>43436</v>
      </c>
      <c r="G63" s="95">
        <v>43442</v>
      </c>
      <c r="H63" s="92">
        <v>1</v>
      </c>
    </row>
    <row r="64" spans="1:8">
      <c r="A64" s="93" t="s">
        <v>1022</v>
      </c>
      <c r="B64" s="94" t="s">
        <v>1023</v>
      </c>
      <c r="C64" s="95" t="s">
        <v>1054</v>
      </c>
      <c r="D64" s="95">
        <v>43441</v>
      </c>
      <c r="E64" s="96">
        <v>43445</v>
      </c>
      <c r="F64" s="95">
        <v>43443</v>
      </c>
      <c r="G64" s="95">
        <v>43449</v>
      </c>
      <c r="H64" s="92">
        <v>2</v>
      </c>
    </row>
    <row r="65" spans="1:8">
      <c r="A65" s="93" t="s">
        <v>1024</v>
      </c>
      <c r="B65" s="94" t="s">
        <v>1025</v>
      </c>
      <c r="C65" s="95" t="s">
        <v>1054</v>
      </c>
      <c r="D65" s="95">
        <v>43441</v>
      </c>
      <c r="E65" s="96">
        <v>43452</v>
      </c>
      <c r="F65" s="95">
        <v>43436</v>
      </c>
      <c r="G65" s="95">
        <v>43442</v>
      </c>
      <c r="H65" s="92">
        <v>1</v>
      </c>
    </row>
    <row r="66" spans="1:8">
      <c r="A66" s="93" t="s">
        <v>1024</v>
      </c>
      <c r="B66" s="94" t="s">
        <v>1025</v>
      </c>
      <c r="C66" s="95" t="s">
        <v>1054</v>
      </c>
      <c r="D66" s="95">
        <v>43441</v>
      </c>
      <c r="E66" s="96">
        <v>43452</v>
      </c>
      <c r="F66" s="95">
        <v>43443</v>
      </c>
      <c r="G66" s="95">
        <v>43449</v>
      </c>
      <c r="H66" s="92">
        <v>5</v>
      </c>
    </row>
    <row r="67" spans="1:8">
      <c r="A67" s="93" t="s">
        <v>1024</v>
      </c>
      <c r="B67" s="94" t="s">
        <v>1025</v>
      </c>
      <c r="C67" s="95" t="s">
        <v>1054</v>
      </c>
      <c r="D67" s="95">
        <v>43441</v>
      </c>
      <c r="E67" s="96">
        <v>43452</v>
      </c>
      <c r="F67" s="95">
        <v>43450</v>
      </c>
      <c r="G67" s="95">
        <v>43456</v>
      </c>
      <c r="H67" s="92">
        <v>2</v>
      </c>
    </row>
    <row r="68" spans="1:8">
      <c r="A68" s="93" t="s">
        <v>1026</v>
      </c>
      <c r="B68" s="94" t="s">
        <v>1027</v>
      </c>
      <c r="C68" s="95" t="s">
        <v>1053</v>
      </c>
      <c r="D68" s="95">
        <v>43434</v>
      </c>
      <c r="E68" s="96">
        <v>43493</v>
      </c>
      <c r="F68" s="95">
        <v>43429</v>
      </c>
      <c r="G68" s="95">
        <v>43435</v>
      </c>
      <c r="H68" s="92">
        <v>0.5</v>
      </c>
    </row>
    <row r="69" spans="1:8">
      <c r="A69" s="93" t="s">
        <v>1026</v>
      </c>
      <c r="B69" s="94" t="s">
        <v>1027</v>
      </c>
      <c r="C69" s="95" t="s">
        <v>1054</v>
      </c>
      <c r="D69" s="95">
        <v>43434</v>
      </c>
      <c r="E69" s="96">
        <v>43493</v>
      </c>
      <c r="F69" s="95">
        <v>43429</v>
      </c>
      <c r="G69" s="95">
        <v>43435</v>
      </c>
      <c r="H69" s="92">
        <v>0.5</v>
      </c>
    </row>
    <row r="70" spans="1:8">
      <c r="A70" s="93" t="s">
        <v>1026</v>
      </c>
      <c r="B70" s="94" t="s">
        <v>1027</v>
      </c>
      <c r="C70" s="95" t="s">
        <v>1053</v>
      </c>
      <c r="D70" s="95">
        <v>43434</v>
      </c>
      <c r="E70" s="96">
        <v>43493</v>
      </c>
      <c r="F70" s="95">
        <v>43436</v>
      </c>
      <c r="G70" s="95">
        <v>43442</v>
      </c>
      <c r="H70" s="92">
        <v>2.5</v>
      </c>
    </row>
    <row r="71" spans="1:8">
      <c r="A71" s="93" t="s">
        <v>1026</v>
      </c>
      <c r="B71" s="94" t="s">
        <v>1027</v>
      </c>
      <c r="C71" s="95" t="s">
        <v>1054</v>
      </c>
      <c r="D71" s="95">
        <v>43434</v>
      </c>
      <c r="E71" s="96">
        <v>43493</v>
      </c>
      <c r="F71" s="95">
        <v>43436</v>
      </c>
      <c r="G71" s="95">
        <v>43442</v>
      </c>
      <c r="H71" s="92">
        <v>2.5</v>
      </c>
    </row>
    <row r="72" spans="1:8">
      <c r="A72" s="93" t="s">
        <v>1026</v>
      </c>
      <c r="B72" s="94" t="s">
        <v>1027</v>
      </c>
      <c r="C72" s="95" t="s">
        <v>1053</v>
      </c>
      <c r="D72" s="95">
        <v>43434</v>
      </c>
      <c r="E72" s="96">
        <v>43493</v>
      </c>
      <c r="F72" s="95">
        <v>43443</v>
      </c>
      <c r="G72" s="95">
        <v>43449</v>
      </c>
      <c r="H72" s="92">
        <v>2.5</v>
      </c>
    </row>
    <row r="73" spans="1:8">
      <c r="A73" s="93" t="s">
        <v>1026</v>
      </c>
      <c r="B73" s="94" t="s">
        <v>1027</v>
      </c>
      <c r="C73" s="95" t="s">
        <v>1054</v>
      </c>
      <c r="D73" s="95">
        <v>43434</v>
      </c>
      <c r="E73" s="96">
        <v>43493</v>
      </c>
      <c r="F73" s="95">
        <v>43443</v>
      </c>
      <c r="G73" s="95">
        <v>43449</v>
      </c>
      <c r="H73" s="92">
        <v>2.5</v>
      </c>
    </row>
    <row r="74" spans="1:8">
      <c r="A74" s="93" t="s">
        <v>1026</v>
      </c>
      <c r="B74" s="94" t="s">
        <v>1027</v>
      </c>
      <c r="C74" s="95" t="s">
        <v>1053</v>
      </c>
      <c r="D74" s="95">
        <v>43434</v>
      </c>
      <c r="E74" s="96">
        <v>43493</v>
      </c>
      <c r="F74" s="95">
        <v>43450</v>
      </c>
      <c r="G74" s="95">
        <v>43456</v>
      </c>
      <c r="H74" s="92">
        <v>2.5</v>
      </c>
    </row>
    <row r="75" spans="1:8">
      <c r="A75" s="93" t="s">
        <v>1026</v>
      </c>
      <c r="B75" s="94" t="s">
        <v>1027</v>
      </c>
      <c r="C75" s="95" t="s">
        <v>1054</v>
      </c>
      <c r="D75" s="95">
        <v>43434</v>
      </c>
      <c r="E75" s="96">
        <v>43493</v>
      </c>
      <c r="F75" s="95">
        <v>43450</v>
      </c>
      <c r="G75" s="95">
        <v>43456</v>
      </c>
      <c r="H75" s="92">
        <v>2.5</v>
      </c>
    </row>
    <row r="76" spans="1:8">
      <c r="A76" s="93" t="s">
        <v>1026</v>
      </c>
      <c r="B76" s="94" t="s">
        <v>1027</v>
      </c>
      <c r="C76" s="95" t="s">
        <v>1053</v>
      </c>
      <c r="D76" s="95">
        <v>43434</v>
      </c>
      <c r="E76" s="96">
        <v>43493</v>
      </c>
      <c r="F76" s="95">
        <v>43457</v>
      </c>
      <c r="G76" s="95">
        <v>43463</v>
      </c>
      <c r="H76" s="92">
        <v>2</v>
      </c>
    </row>
    <row r="77" spans="1:8">
      <c r="A77" s="93" t="s">
        <v>1026</v>
      </c>
      <c r="B77" s="94" t="s">
        <v>1027</v>
      </c>
      <c r="C77" s="95" t="s">
        <v>1054</v>
      </c>
      <c r="D77" s="95">
        <v>43434</v>
      </c>
      <c r="E77" s="96">
        <v>43493</v>
      </c>
      <c r="F77" s="95">
        <v>43457</v>
      </c>
      <c r="G77" s="95">
        <v>43463</v>
      </c>
      <c r="H77" s="92">
        <v>2</v>
      </c>
    </row>
    <row r="78" spans="1:8">
      <c r="A78" s="93" t="s">
        <v>1026</v>
      </c>
      <c r="B78" s="94" t="s">
        <v>1027</v>
      </c>
      <c r="C78" s="95" t="s">
        <v>1053</v>
      </c>
      <c r="D78" s="95">
        <v>43434</v>
      </c>
      <c r="E78" s="96">
        <v>43493</v>
      </c>
      <c r="F78" s="95">
        <v>43464</v>
      </c>
      <c r="G78" s="95">
        <v>43470</v>
      </c>
      <c r="H78" s="92">
        <v>2</v>
      </c>
    </row>
    <row r="79" spans="1:8">
      <c r="A79" s="93" t="s">
        <v>1026</v>
      </c>
      <c r="B79" s="94" t="s">
        <v>1027</v>
      </c>
      <c r="C79" s="95" t="s">
        <v>1054</v>
      </c>
      <c r="D79" s="95">
        <v>43434</v>
      </c>
      <c r="E79" s="96">
        <v>43493</v>
      </c>
      <c r="F79" s="95">
        <v>43464</v>
      </c>
      <c r="G79" s="95">
        <v>43470</v>
      </c>
      <c r="H79" s="92">
        <v>2</v>
      </c>
    </row>
    <row r="80" spans="1:8">
      <c r="A80" s="93" t="s">
        <v>1026</v>
      </c>
      <c r="B80" s="94" t="s">
        <v>1027</v>
      </c>
      <c r="C80" s="95" t="s">
        <v>1053</v>
      </c>
      <c r="D80" s="95">
        <v>43434</v>
      </c>
      <c r="E80" s="96">
        <v>43493</v>
      </c>
      <c r="F80" s="95">
        <v>43471</v>
      </c>
      <c r="G80" s="95">
        <v>43477</v>
      </c>
      <c r="H80" s="92">
        <v>2.5</v>
      </c>
    </row>
    <row r="81" spans="1:8">
      <c r="A81" s="93" t="s">
        <v>1026</v>
      </c>
      <c r="B81" s="94" t="s">
        <v>1027</v>
      </c>
      <c r="C81" s="95" t="s">
        <v>1054</v>
      </c>
      <c r="D81" s="95">
        <v>43434</v>
      </c>
      <c r="E81" s="96">
        <v>43493</v>
      </c>
      <c r="F81" s="95">
        <v>43471</v>
      </c>
      <c r="G81" s="95">
        <v>43477</v>
      </c>
      <c r="H81" s="92">
        <v>2.5</v>
      </c>
    </row>
    <row r="82" spans="1:8">
      <c r="A82" s="93" t="s">
        <v>1026</v>
      </c>
      <c r="B82" s="94" t="s">
        <v>1027</v>
      </c>
      <c r="C82" s="95" t="s">
        <v>1053</v>
      </c>
      <c r="D82" s="95">
        <v>43434</v>
      </c>
      <c r="E82" s="96">
        <v>43493</v>
      </c>
      <c r="F82" s="95">
        <v>43478</v>
      </c>
      <c r="G82" s="95">
        <v>43484</v>
      </c>
      <c r="H82" s="92">
        <v>2.5</v>
      </c>
    </row>
    <row r="83" spans="1:8">
      <c r="A83" s="93" t="s">
        <v>1026</v>
      </c>
      <c r="B83" s="94" t="s">
        <v>1027</v>
      </c>
      <c r="C83" s="95" t="s">
        <v>1054</v>
      </c>
      <c r="D83" s="95">
        <v>43434</v>
      </c>
      <c r="E83" s="96">
        <v>43493</v>
      </c>
      <c r="F83" s="95">
        <v>43478</v>
      </c>
      <c r="G83" s="95">
        <v>43484</v>
      </c>
      <c r="H83" s="92">
        <v>2.5</v>
      </c>
    </row>
    <row r="84" spans="1:8">
      <c r="A84" s="93" t="s">
        <v>1026</v>
      </c>
      <c r="B84" s="94" t="s">
        <v>1027</v>
      </c>
      <c r="C84" s="95" t="s">
        <v>1053</v>
      </c>
      <c r="D84" s="95">
        <v>43434</v>
      </c>
      <c r="E84" s="96">
        <v>43493</v>
      </c>
      <c r="F84" s="95">
        <v>43485</v>
      </c>
      <c r="G84" s="95">
        <v>43491</v>
      </c>
      <c r="H84" s="92">
        <v>2.5</v>
      </c>
    </row>
    <row r="85" spans="1:8">
      <c r="A85" s="93" t="s">
        <v>1026</v>
      </c>
      <c r="B85" s="94" t="s">
        <v>1027</v>
      </c>
      <c r="C85" s="95" t="s">
        <v>1054</v>
      </c>
      <c r="D85" s="95">
        <v>43434</v>
      </c>
      <c r="E85" s="96">
        <v>43493</v>
      </c>
      <c r="F85" s="95">
        <v>43485</v>
      </c>
      <c r="G85" s="95">
        <v>43491</v>
      </c>
      <c r="H85" s="92">
        <v>2.5</v>
      </c>
    </row>
    <row r="86" spans="1:8">
      <c r="A86" s="93" t="s">
        <v>1026</v>
      </c>
      <c r="B86" s="94" t="s">
        <v>1027</v>
      </c>
      <c r="C86" s="95" t="s">
        <v>1053</v>
      </c>
      <c r="D86" s="95">
        <v>43434</v>
      </c>
      <c r="E86" s="96">
        <v>43493</v>
      </c>
      <c r="F86" s="95">
        <v>43492</v>
      </c>
      <c r="G86" s="95">
        <v>43498</v>
      </c>
      <c r="H86" s="92">
        <v>0.5</v>
      </c>
    </row>
    <row r="87" spans="1:8">
      <c r="A87" s="93" t="s">
        <v>1026</v>
      </c>
      <c r="B87" s="94" t="s">
        <v>1027</v>
      </c>
      <c r="C87" s="95" t="s">
        <v>1054</v>
      </c>
      <c r="D87" s="95">
        <v>43434</v>
      </c>
      <c r="E87" s="96">
        <v>43493</v>
      </c>
      <c r="F87" s="95">
        <v>43492</v>
      </c>
      <c r="G87" s="95">
        <v>43498</v>
      </c>
      <c r="H87" s="92">
        <v>0.5</v>
      </c>
    </row>
    <row r="88" spans="1:8">
      <c r="A88" s="93" t="s">
        <v>1028</v>
      </c>
      <c r="B88" s="94" t="s">
        <v>1029</v>
      </c>
      <c r="C88" s="95" t="s">
        <v>1053</v>
      </c>
      <c r="D88" s="95">
        <v>43434</v>
      </c>
      <c r="E88" s="96">
        <v>43493</v>
      </c>
      <c r="F88" s="95">
        <v>43429</v>
      </c>
      <c r="G88" s="95">
        <v>43435</v>
      </c>
      <c r="H88" s="92">
        <v>1</v>
      </c>
    </row>
    <row r="89" spans="1:8">
      <c r="A89" s="93" t="s">
        <v>1028</v>
      </c>
      <c r="B89" s="94" t="s">
        <v>1029</v>
      </c>
      <c r="C89" s="95" t="s">
        <v>1053</v>
      </c>
      <c r="D89" s="95">
        <v>43434</v>
      </c>
      <c r="E89" s="96">
        <v>43493</v>
      </c>
      <c r="F89" s="95">
        <v>43436</v>
      </c>
      <c r="G89" s="95">
        <v>43442</v>
      </c>
      <c r="H89" s="92">
        <v>5</v>
      </c>
    </row>
    <row r="90" spans="1:8">
      <c r="A90" s="93" t="s">
        <v>1028</v>
      </c>
      <c r="B90" s="94" t="s">
        <v>1029</v>
      </c>
      <c r="C90" s="95" t="s">
        <v>1053</v>
      </c>
      <c r="D90" s="95">
        <v>43434</v>
      </c>
      <c r="E90" s="96">
        <v>43493</v>
      </c>
      <c r="F90" s="95">
        <v>43443</v>
      </c>
      <c r="G90" s="95">
        <v>43449</v>
      </c>
      <c r="H90" s="92">
        <v>5</v>
      </c>
    </row>
    <row r="91" spans="1:8">
      <c r="A91" s="93" t="s">
        <v>1028</v>
      </c>
      <c r="B91" s="94" t="s">
        <v>1029</v>
      </c>
      <c r="C91" s="95" t="s">
        <v>1053</v>
      </c>
      <c r="D91" s="95">
        <v>43434</v>
      </c>
      <c r="E91" s="96">
        <v>43493</v>
      </c>
      <c r="F91" s="95">
        <v>43450</v>
      </c>
      <c r="G91" s="95">
        <v>43456</v>
      </c>
      <c r="H91" s="92">
        <v>5</v>
      </c>
    </row>
    <row r="92" spans="1:8">
      <c r="A92" s="93" t="s">
        <v>1028</v>
      </c>
      <c r="B92" s="94" t="s">
        <v>1029</v>
      </c>
      <c r="C92" s="95" t="s">
        <v>1053</v>
      </c>
      <c r="D92" s="95">
        <v>43434</v>
      </c>
      <c r="E92" s="96">
        <v>43493</v>
      </c>
      <c r="F92" s="95">
        <v>43457</v>
      </c>
      <c r="G92" s="95">
        <v>43463</v>
      </c>
      <c r="H92" s="92">
        <v>4</v>
      </c>
    </row>
    <row r="93" spans="1:8">
      <c r="A93" s="93" t="s">
        <v>1028</v>
      </c>
      <c r="B93" s="94" t="s">
        <v>1029</v>
      </c>
      <c r="C93" s="95" t="s">
        <v>1053</v>
      </c>
      <c r="D93" s="95">
        <v>43434</v>
      </c>
      <c r="E93" s="96">
        <v>43493</v>
      </c>
      <c r="F93" s="95">
        <v>43464</v>
      </c>
      <c r="G93" s="95">
        <v>43470</v>
      </c>
      <c r="H93" s="92">
        <v>4</v>
      </c>
    </row>
    <row r="94" spans="1:8">
      <c r="A94" s="93" t="s">
        <v>1028</v>
      </c>
      <c r="B94" s="94" t="s">
        <v>1029</v>
      </c>
      <c r="C94" s="95" t="s">
        <v>1053</v>
      </c>
      <c r="D94" s="95">
        <v>43434</v>
      </c>
      <c r="E94" s="96">
        <v>43493</v>
      </c>
      <c r="F94" s="95">
        <v>43471</v>
      </c>
      <c r="G94" s="95">
        <v>43477</v>
      </c>
      <c r="H94" s="92">
        <v>5</v>
      </c>
    </row>
    <row r="95" spans="1:8">
      <c r="A95" s="93" t="s">
        <v>1028</v>
      </c>
      <c r="B95" s="94" t="s">
        <v>1029</v>
      </c>
      <c r="C95" s="95" t="s">
        <v>1053</v>
      </c>
      <c r="D95" s="95">
        <v>43434</v>
      </c>
      <c r="E95" s="96">
        <v>43493</v>
      </c>
      <c r="F95" s="95">
        <v>43478</v>
      </c>
      <c r="G95" s="95">
        <v>43484</v>
      </c>
      <c r="H95" s="92">
        <v>5</v>
      </c>
    </row>
    <row r="96" spans="1:8">
      <c r="A96" s="93" t="s">
        <v>1028</v>
      </c>
      <c r="B96" s="94" t="s">
        <v>1029</v>
      </c>
      <c r="C96" s="95" t="s">
        <v>1053</v>
      </c>
      <c r="D96" s="95">
        <v>43434</v>
      </c>
      <c r="E96" s="96">
        <v>43493</v>
      </c>
      <c r="F96" s="95">
        <v>43485</v>
      </c>
      <c r="G96" s="95">
        <v>43491</v>
      </c>
      <c r="H96" s="92">
        <v>5</v>
      </c>
    </row>
    <row r="97" spans="1:8">
      <c r="A97" s="93" t="s">
        <v>1028</v>
      </c>
      <c r="B97" s="94" t="s">
        <v>1029</v>
      </c>
      <c r="C97" s="95" t="s">
        <v>1053</v>
      </c>
      <c r="D97" s="95">
        <v>43434</v>
      </c>
      <c r="E97" s="96">
        <v>43493</v>
      </c>
      <c r="F97" s="95">
        <v>43492</v>
      </c>
      <c r="G97" s="95">
        <v>43498</v>
      </c>
      <c r="H97" s="92">
        <v>1</v>
      </c>
    </row>
    <row r="98" spans="1:8">
      <c r="A98" s="93" t="s">
        <v>1030</v>
      </c>
      <c r="B98" s="94" t="s">
        <v>1031</v>
      </c>
      <c r="C98" s="95" t="s">
        <v>1054</v>
      </c>
      <c r="D98" s="95">
        <v>43448</v>
      </c>
      <c r="E98" s="96">
        <v>43493</v>
      </c>
      <c r="F98" s="95">
        <v>43443</v>
      </c>
      <c r="G98" s="95">
        <v>43449</v>
      </c>
      <c r="H98" s="92">
        <v>1</v>
      </c>
    </row>
    <row r="99" spans="1:8">
      <c r="A99" s="93" t="s">
        <v>1030</v>
      </c>
      <c r="B99" s="94" t="s">
        <v>1031</v>
      </c>
      <c r="C99" s="95" t="s">
        <v>1054</v>
      </c>
      <c r="D99" s="95">
        <v>43448</v>
      </c>
      <c r="E99" s="96">
        <v>43493</v>
      </c>
      <c r="F99" s="95">
        <v>43450</v>
      </c>
      <c r="G99" s="95">
        <v>43456</v>
      </c>
      <c r="H99" s="92">
        <v>5</v>
      </c>
    </row>
    <row r="100" spans="1:8">
      <c r="A100" s="93" t="s">
        <v>1030</v>
      </c>
      <c r="B100" s="94" t="s">
        <v>1031</v>
      </c>
      <c r="C100" s="95" t="s">
        <v>1054</v>
      </c>
      <c r="D100" s="95">
        <v>43448</v>
      </c>
      <c r="E100" s="96">
        <v>43493</v>
      </c>
      <c r="F100" s="95">
        <v>43457</v>
      </c>
      <c r="G100" s="95">
        <v>43463</v>
      </c>
      <c r="H100" s="92">
        <v>4</v>
      </c>
    </row>
    <row r="101" spans="1:8">
      <c r="A101" s="93" t="s">
        <v>1030</v>
      </c>
      <c r="B101" s="94" t="s">
        <v>1031</v>
      </c>
      <c r="C101" s="95" t="s">
        <v>1054</v>
      </c>
      <c r="D101" s="95">
        <v>43448</v>
      </c>
      <c r="E101" s="96">
        <v>43493</v>
      </c>
      <c r="F101" s="95">
        <v>43464</v>
      </c>
      <c r="G101" s="95">
        <v>43470</v>
      </c>
      <c r="H101" s="92">
        <v>4</v>
      </c>
    </row>
    <row r="102" spans="1:8">
      <c r="A102" s="93" t="s">
        <v>1030</v>
      </c>
      <c r="B102" s="94" t="s">
        <v>1031</v>
      </c>
      <c r="C102" s="95" t="s">
        <v>1054</v>
      </c>
      <c r="D102" s="95">
        <v>43448</v>
      </c>
      <c r="E102" s="96">
        <v>43493</v>
      </c>
      <c r="F102" s="95">
        <v>43471</v>
      </c>
      <c r="G102" s="95">
        <v>43477</v>
      </c>
      <c r="H102" s="92">
        <v>5</v>
      </c>
    </row>
    <row r="103" spans="1:8">
      <c r="A103" s="93" t="s">
        <v>1030</v>
      </c>
      <c r="B103" s="94" t="s">
        <v>1031</v>
      </c>
      <c r="C103" s="95" t="s">
        <v>1054</v>
      </c>
      <c r="D103" s="95">
        <v>43448</v>
      </c>
      <c r="E103" s="96">
        <v>43493</v>
      </c>
      <c r="F103" s="95">
        <v>43478</v>
      </c>
      <c r="G103" s="95">
        <v>43484</v>
      </c>
      <c r="H103" s="92">
        <v>5</v>
      </c>
    </row>
    <row r="104" spans="1:8">
      <c r="A104" s="93" t="s">
        <v>1030</v>
      </c>
      <c r="B104" s="94" t="s">
        <v>1031</v>
      </c>
      <c r="C104" s="95" t="s">
        <v>1054</v>
      </c>
      <c r="D104" s="95">
        <v>43448</v>
      </c>
      <c r="E104" s="96">
        <v>43493</v>
      </c>
      <c r="F104" s="95">
        <v>43485</v>
      </c>
      <c r="G104" s="95">
        <v>43491</v>
      </c>
      <c r="H104" s="92">
        <v>5</v>
      </c>
    </row>
    <row r="105" spans="1:8">
      <c r="A105" s="93" t="s">
        <v>1030</v>
      </c>
      <c r="B105" s="94" t="s">
        <v>1031</v>
      </c>
      <c r="C105" s="95" t="s">
        <v>1054</v>
      </c>
      <c r="D105" s="95">
        <v>43448</v>
      </c>
      <c r="E105" s="96">
        <v>43493</v>
      </c>
      <c r="F105" s="95">
        <v>43492</v>
      </c>
      <c r="G105" s="95">
        <v>43498</v>
      </c>
      <c r="H105" s="92">
        <v>1</v>
      </c>
    </row>
    <row r="106" spans="1:8">
      <c r="A106" s="93" t="s">
        <v>1033</v>
      </c>
      <c r="B106" s="94" t="s">
        <v>1034</v>
      </c>
      <c r="C106" s="95" t="s">
        <v>1052</v>
      </c>
      <c r="D106" s="95">
        <v>43476</v>
      </c>
      <c r="E106" s="96">
        <v>43494</v>
      </c>
      <c r="F106" s="95">
        <v>43471</v>
      </c>
      <c r="G106" s="95">
        <v>43477</v>
      </c>
      <c r="H106" s="92">
        <v>1</v>
      </c>
    </row>
    <row r="107" spans="1:8">
      <c r="A107" s="93" t="s">
        <v>1033</v>
      </c>
      <c r="B107" s="94" t="s">
        <v>1034</v>
      </c>
      <c r="C107" s="95" t="s">
        <v>1052</v>
      </c>
      <c r="D107" s="95">
        <v>43476</v>
      </c>
      <c r="E107" s="96">
        <v>43494</v>
      </c>
      <c r="F107" s="95">
        <v>43478</v>
      </c>
      <c r="G107" s="95">
        <v>43484</v>
      </c>
      <c r="H107" s="92">
        <v>5</v>
      </c>
    </row>
    <row r="108" spans="1:8">
      <c r="A108" s="93" t="s">
        <v>1033</v>
      </c>
      <c r="B108" s="94" t="s">
        <v>1034</v>
      </c>
      <c r="C108" s="95" t="s">
        <v>1052</v>
      </c>
      <c r="D108" s="95">
        <v>43476</v>
      </c>
      <c r="E108" s="96">
        <v>43494</v>
      </c>
      <c r="F108" s="95">
        <v>43485</v>
      </c>
      <c r="G108" s="95">
        <v>43491</v>
      </c>
      <c r="H108" s="92">
        <v>5</v>
      </c>
    </row>
    <row r="109" spans="1:8">
      <c r="A109" s="93" t="s">
        <v>1033</v>
      </c>
      <c r="B109" s="94" t="s">
        <v>1034</v>
      </c>
      <c r="C109" s="95" t="s">
        <v>1052</v>
      </c>
      <c r="D109" s="95">
        <v>43476</v>
      </c>
      <c r="E109" s="96">
        <v>43494</v>
      </c>
      <c r="F109" s="95">
        <v>43492</v>
      </c>
      <c r="G109" s="95">
        <v>43498</v>
      </c>
      <c r="H109" s="92">
        <v>2</v>
      </c>
    </row>
    <row r="110" spans="1:8">
      <c r="A110" s="93" t="s">
        <v>1035</v>
      </c>
      <c r="B110" s="94" t="s">
        <v>1036</v>
      </c>
      <c r="C110" s="95" t="s">
        <v>1052</v>
      </c>
      <c r="D110" s="95">
        <v>43497</v>
      </c>
      <c r="E110" s="96">
        <v>43501</v>
      </c>
      <c r="F110" s="95">
        <v>43492</v>
      </c>
      <c r="G110" s="95">
        <v>43498</v>
      </c>
      <c r="H110" s="92">
        <v>1</v>
      </c>
    </row>
    <row r="111" spans="1:8">
      <c r="A111" s="93" t="s">
        <v>1035</v>
      </c>
      <c r="B111" s="94" t="s">
        <v>1036</v>
      </c>
      <c r="C111" s="95" t="s">
        <v>1052</v>
      </c>
      <c r="D111" s="95">
        <v>43497</v>
      </c>
      <c r="E111" s="96">
        <v>43501</v>
      </c>
      <c r="F111" s="95">
        <v>43499</v>
      </c>
      <c r="G111" s="95">
        <v>43505</v>
      </c>
      <c r="H111" s="92">
        <v>0</v>
      </c>
    </row>
    <row r="112" spans="1:8">
      <c r="A112" s="93" t="s">
        <v>1038</v>
      </c>
      <c r="B112" s="94" t="s">
        <v>1039</v>
      </c>
      <c r="C112" s="95" t="s">
        <v>1052</v>
      </c>
      <c r="D112" s="95">
        <v>43497</v>
      </c>
      <c r="E112" s="96">
        <v>43499</v>
      </c>
      <c r="F112" s="95">
        <v>43492</v>
      </c>
      <c r="G112" s="95">
        <v>43498</v>
      </c>
      <c r="H112" s="92">
        <v>1</v>
      </c>
    </row>
    <row r="113" spans="1:8">
      <c r="A113" s="93" t="s">
        <v>1038</v>
      </c>
      <c r="B113" s="94" t="s">
        <v>1039</v>
      </c>
      <c r="C113" s="95" t="s">
        <v>1052</v>
      </c>
      <c r="D113" s="95">
        <v>43497</v>
      </c>
      <c r="E113" s="96">
        <v>43499</v>
      </c>
      <c r="F113" s="95">
        <v>43499</v>
      </c>
      <c r="G113" s="95">
        <v>43505</v>
      </c>
      <c r="H113" s="92">
        <v>0</v>
      </c>
    </row>
    <row r="114" spans="1:8">
      <c r="A114" s="93" t="s">
        <v>1040</v>
      </c>
      <c r="B114" s="94" t="s">
        <v>1041</v>
      </c>
      <c r="C114" s="95" t="s">
        <v>1052</v>
      </c>
      <c r="D114" s="95">
        <v>43501</v>
      </c>
      <c r="E114" s="96">
        <v>43503</v>
      </c>
      <c r="F114" s="95">
        <v>43499</v>
      </c>
      <c r="G114" s="95">
        <v>43505</v>
      </c>
      <c r="H114" s="92">
        <v>0.5</v>
      </c>
    </row>
    <row r="115" spans="1:8">
      <c r="A115" s="93" t="s">
        <v>1040</v>
      </c>
      <c r="B115" s="94" t="s">
        <v>1041</v>
      </c>
      <c r="C115" s="95" t="s">
        <v>1051</v>
      </c>
      <c r="D115" s="95">
        <v>43501</v>
      </c>
      <c r="E115" s="96">
        <v>43503</v>
      </c>
      <c r="F115" s="95">
        <v>43499</v>
      </c>
      <c r="G115" s="95">
        <v>43505</v>
      </c>
      <c r="H115" s="92">
        <v>0.5</v>
      </c>
    </row>
    <row r="116" spans="1:8">
      <c r="A116" s="93" t="s">
        <v>1042</v>
      </c>
      <c r="B116" s="94" t="s">
        <v>1043</v>
      </c>
      <c r="C116" s="95" t="s">
        <v>1052</v>
      </c>
      <c r="D116" s="95">
        <v>43501</v>
      </c>
      <c r="E116" s="96">
        <v>43503</v>
      </c>
      <c r="F116" s="95">
        <v>43499</v>
      </c>
      <c r="G116" s="95">
        <v>43505</v>
      </c>
      <c r="H116" s="92">
        <v>0.5</v>
      </c>
    </row>
    <row r="117" spans="1:8">
      <c r="A117" s="93" t="s">
        <v>1042</v>
      </c>
      <c r="B117" s="94" t="s">
        <v>1043</v>
      </c>
      <c r="C117" s="95" t="s">
        <v>1053</v>
      </c>
      <c r="D117" s="95">
        <v>43501</v>
      </c>
      <c r="E117" s="96">
        <v>43503</v>
      </c>
      <c r="F117" s="95">
        <v>43499</v>
      </c>
      <c r="G117" s="95">
        <v>43505</v>
      </c>
      <c r="H117" s="92">
        <v>0.5</v>
      </c>
    </row>
    <row r="118" spans="1:8">
      <c r="A118" s="93" t="s">
        <v>1044</v>
      </c>
      <c r="B118" s="94" t="s">
        <v>1045</v>
      </c>
      <c r="C118" s="95" t="s">
        <v>1052</v>
      </c>
      <c r="D118" s="95">
        <v>43501</v>
      </c>
      <c r="E118" s="96">
        <v>43503</v>
      </c>
      <c r="F118" s="95">
        <v>43499</v>
      </c>
      <c r="G118" s="95">
        <v>43505</v>
      </c>
      <c r="H118" s="92">
        <v>0.5</v>
      </c>
    </row>
    <row r="119" spans="1:8">
      <c r="A119" s="93" t="s">
        <v>1044</v>
      </c>
      <c r="B119" s="94" t="s">
        <v>1045</v>
      </c>
      <c r="C119" s="95" t="s">
        <v>1053</v>
      </c>
      <c r="D119" s="95">
        <v>43501</v>
      </c>
      <c r="E119" s="96">
        <v>43503</v>
      </c>
      <c r="F119" s="95">
        <v>43499</v>
      </c>
      <c r="G119" s="95">
        <v>43505</v>
      </c>
      <c r="H119" s="92">
        <v>0.5</v>
      </c>
    </row>
    <row r="120" spans="1:8">
      <c r="A120" s="93" t="s">
        <v>1046</v>
      </c>
      <c r="B120" s="94" t="s">
        <v>1047</v>
      </c>
      <c r="C120" s="95" t="s">
        <v>1052</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CA111"/>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outlineLevelRow="4"/>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77" width="1.8984375" style="114" customWidth="1"/>
    <col min="78" max="16384" width="10" style="114"/>
  </cols>
  <sheetData>
    <row r="1" spans="1:79" s="158" customFormat="1" ht="19.95" customHeight="1">
      <c r="A1" s="141"/>
      <c r="B1" s="151"/>
      <c r="C1" s="142"/>
      <c r="D1" s="143" t="str">
        <f ca="1">xlgantt.ProjectName()</f>
        <v>OOO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2018-11-05~2018-12-18 [계획:21.28% 실적:21.49%]</v>
      </c>
      <c r="AC1" s="241" t="s">
        <v>1096</v>
      </c>
      <c r="AD1" s="241"/>
      <c r="AE1" s="241"/>
      <c r="AF1" s="241"/>
      <c r="AG1" s="241"/>
      <c r="AH1" s="241"/>
      <c r="AI1" s="241"/>
      <c r="AJ1" s="241"/>
      <c r="AK1" s="241"/>
      <c r="AL1" s="241"/>
      <c r="AM1" s="241"/>
      <c r="AN1" s="241"/>
      <c r="AO1" s="241"/>
      <c r="AP1" s="241"/>
      <c r="AQ1" s="241"/>
      <c r="AR1" s="241"/>
      <c r="AS1" s="241"/>
      <c r="AT1" s="241"/>
      <c r="AU1" s="241"/>
      <c r="AV1" s="241"/>
      <c r="AW1" s="241"/>
      <c r="AX1" s="241"/>
      <c r="AY1" s="241"/>
      <c r="AZ1" s="241"/>
      <c r="BA1" s="241"/>
      <c r="BB1" s="241"/>
      <c r="BC1" s="241"/>
      <c r="BD1" s="241"/>
      <c r="BE1" s="241"/>
      <c r="BF1" s="241"/>
      <c r="BG1" s="241"/>
      <c r="BH1" s="241"/>
      <c r="BI1" s="241"/>
      <c r="BJ1" s="241"/>
      <c r="BK1" s="241"/>
      <c r="BL1" s="241"/>
      <c r="BM1" s="241"/>
      <c r="BN1" s="241"/>
      <c r="BO1" s="241"/>
      <c r="BP1" s="241"/>
      <c r="BQ1" s="241"/>
      <c r="BR1" s="241"/>
      <c r="BS1" s="241"/>
      <c r="BT1" s="241"/>
      <c r="BU1" s="241"/>
      <c r="BV1" s="241"/>
      <c r="BW1" s="241"/>
      <c r="BX1" s="241"/>
      <c r="BY1" s="241"/>
      <c r="BZ1" s="241"/>
      <c r="CA1" s="241"/>
    </row>
    <row r="2" spans="1:79" s="158" customFormat="1" ht="15" customHeight="1">
      <c r="A2" s="159"/>
      <c r="B2" s="159"/>
      <c r="C2" s="160"/>
      <c r="D2" s="227"/>
      <c r="E2" s="227"/>
      <c r="F2" s="227"/>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1112</v>
      </c>
    </row>
    <row r="3" spans="1:79" s="1" customFormat="1" ht="19.95" customHeight="1">
      <c r="A3" s="231" t="s">
        <v>1169</v>
      </c>
      <c r="B3" s="228" t="s">
        <v>1170</v>
      </c>
      <c r="C3" s="234" t="s">
        <v>1134</v>
      </c>
      <c r="D3" s="235" t="s">
        <v>1148</v>
      </c>
      <c r="E3" s="236" t="s">
        <v>1149</v>
      </c>
      <c r="F3" s="237"/>
      <c r="G3" s="237"/>
      <c r="H3" s="237"/>
      <c r="I3" s="237"/>
      <c r="J3" s="237"/>
      <c r="K3" s="238"/>
      <c r="L3" s="222" t="s">
        <v>1142</v>
      </c>
      <c r="M3" s="222" t="s">
        <v>1143</v>
      </c>
      <c r="N3" s="222" t="s">
        <v>1150</v>
      </c>
      <c r="O3" s="229" t="s">
        <v>1144</v>
      </c>
      <c r="P3" s="230" t="s">
        <v>1128</v>
      </c>
      <c r="Q3" s="230" t="s">
        <v>1174</v>
      </c>
      <c r="R3" s="230" t="s">
        <v>1135</v>
      </c>
      <c r="S3" s="230" t="s">
        <v>1145</v>
      </c>
      <c r="T3" s="221" t="s">
        <v>1151</v>
      </c>
      <c r="U3" s="221" t="s">
        <v>1146</v>
      </c>
      <c r="V3" s="223" t="s">
        <v>1152</v>
      </c>
      <c r="W3" s="224" t="s">
        <v>1153</v>
      </c>
      <c r="X3" s="225" t="s">
        <v>1129</v>
      </c>
      <c r="Y3" s="222" t="s">
        <v>1113</v>
      </c>
      <c r="Z3" s="228" t="s">
        <v>1171</v>
      </c>
      <c r="AA3" s="226" t="s">
        <v>1175</v>
      </c>
      <c r="AB3" s="220" t="s">
        <v>1136</v>
      </c>
      <c r="AC3" s="239">
        <v>43408</v>
      </c>
      <c r="AD3" s="240"/>
      <c r="AE3" s="240"/>
      <c r="AF3" s="240"/>
      <c r="AG3" s="240">
        <v>43436</v>
      </c>
      <c r="AH3" s="240"/>
      <c r="AI3" s="240"/>
      <c r="AJ3" s="242"/>
    </row>
    <row r="4" spans="1:79" s="2" customFormat="1" ht="4.95" customHeight="1">
      <c r="A4" s="232"/>
      <c r="B4" s="233"/>
      <c r="C4" s="231"/>
      <c r="D4" s="235"/>
      <c r="E4" s="236"/>
      <c r="F4" s="237"/>
      <c r="G4" s="237"/>
      <c r="H4" s="237"/>
      <c r="I4" s="237"/>
      <c r="J4" s="237"/>
      <c r="K4" s="238"/>
      <c r="L4" s="222"/>
      <c r="M4" s="222"/>
      <c r="N4" s="222"/>
      <c r="O4" s="229"/>
      <c r="P4" s="230"/>
      <c r="Q4" s="230"/>
      <c r="R4" s="230"/>
      <c r="S4" s="230"/>
      <c r="T4" s="222"/>
      <c r="U4" s="222"/>
      <c r="V4" s="223"/>
      <c r="W4" s="224"/>
      <c r="X4" s="225"/>
      <c r="Y4" s="222"/>
      <c r="Z4" s="228"/>
      <c r="AA4" s="226"/>
      <c r="AB4" s="220"/>
      <c r="AC4" s="112">
        <v>43408</v>
      </c>
      <c r="AD4" s="113">
        <v>43415</v>
      </c>
      <c r="AE4" s="113">
        <v>43422</v>
      </c>
      <c r="AF4" s="113">
        <v>43429</v>
      </c>
      <c r="AG4" s="113">
        <v>43436</v>
      </c>
      <c r="AH4" s="113">
        <v>43443</v>
      </c>
      <c r="AI4" s="113">
        <v>43450</v>
      </c>
      <c r="AJ4" s="115"/>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row>
    <row r="5" spans="1:79">
      <c r="A5" s="116"/>
      <c r="B5" s="116" t="s">
        <v>1075</v>
      </c>
      <c r="C5" s="116">
        <v>1</v>
      </c>
      <c r="D5" s="3" t="s">
        <v>1076</v>
      </c>
      <c r="E5" s="184" t="s">
        <v>538</v>
      </c>
      <c r="F5" s="184"/>
      <c r="G5" s="184"/>
      <c r="H5" s="184"/>
      <c r="I5" s="184"/>
      <c r="J5" s="184"/>
      <c r="K5" s="184"/>
      <c r="L5" s="184"/>
      <c r="M5" s="185">
        <v>43409</v>
      </c>
      <c r="N5" s="185">
        <v>43452</v>
      </c>
      <c r="O5" s="186"/>
      <c r="P5" s="187">
        <v>13</v>
      </c>
      <c r="Q5" s="187">
        <v>9</v>
      </c>
      <c r="R5" s="188">
        <v>32</v>
      </c>
      <c r="S5" s="188">
        <v>8</v>
      </c>
      <c r="T5" s="185"/>
      <c r="U5" s="185"/>
      <c r="V5" s="189">
        <v>0</v>
      </c>
      <c r="W5" s="190">
        <v>0</v>
      </c>
      <c r="X5" s="191"/>
      <c r="Y5" s="186"/>
      <c r="Z5" s="192"/>
      <c r="AA5" s="97">
        <v>0.69230769230769229</v>
      </c>
      <c r="AB5" s="193">
        <v>0.61538461538461542</v>
      </c>
      <c r="AC5" s="123"/>
      <c r="AD5" s="4"/>
      <c r="AE5" s="4"/>
      <c r="AF5" s="4"/>
      <c r="AG5" s="4" t="str">
        <f>"" &amp; TEXT(AB5,"#0.00%") &amp; " " &amp; "프로젝트 관리" &amp; " " &amp; IF(M5="","",TEXT(M5,"M/D-")) &amp; IF(N5="","",TEXT(N5,"M/D")) &amp; " "</f>
        <v xml:space="preserve">61.54% 프로젝트 관리 11/5-12/18 </v>
      </c>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row>
    <row r="6" spans="1:79" outlineLevel="1">
      <c r="A6" s="116"/>
      <c r="B6" s="116" t="s">
        <v>1075</v>
      </c>
      <c r="C6" s="116">
        <v>2</v>
      </c>
      <c r="D6" s="3" t="s">
        <v>1077</v>
      </c>
      <c r="E6" s="184"/>
      <c r="F6" s="184" t="s">
        <v>913</v>
      </c>
      <c r="G6" s="184"/>
      <c r="H6" s="184"/>
      <c r="I6" s="184"/>
      <c r="J6" s="184"/>
      <c r="K6" s="184"/>
      <c r="L6" s="184"/>
      <c r="M6" s="185">
        <v>43409</v>
      </c>
      <c r="N6" s="185">
        <v>43418</v>
      </c>
      <c r="O6" s="186"/>
      <c r="P6" s="187">
        <v>8</v>
      </c>
      <c r="Q6" s="187">
        <v>8</v>
      </c>
      <c r="R6" s="188">
        <v>8</v>
      </c>
      <c r="S6" s="188">
        <v>8</v>
      </c>
      <c r="T6" s="185"/>
      <c r="U6" s="185"/>
      <c r="V6" s="189">
        <v>0</v>
      </c>
      <c r="W6" s="190">
        <v>0</v>
      </c>
      <c r="X6" s="191"/>
      <c r="Y6" s="186"/>
      <c r="Z6" s="192"/>
      <c r="AA6" s="97">
        <v>1</v>
      </c>
      <c r="AB6" s="193">
        <v>1</v>
      </c>
      <c r="AC6" s="123"/>
      <c r="AD6" s="4" t="str">
        <f>"    " &amp; TEXT(AB6,"#0.00%") &amp; " " &amp; "프로젝트 착수 및 계획수립" &amp; " " &amp; IF(M6="","",TEXT(M6,"M/D-")) &amp; IF(N6="","",TEXT(N6,"M/D")) &amp; " "</f>
        <v xml:space="preserve">    100.00% 프로젝트 착수 및 계획수립 11/5-11/14 </v>
      </c>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row>
    <row r="7" spans="1:79" outlineLevel="2">
      <c r="A7" s="116"/>
      <c r="B7" s="116"/>
      <c r="C7" s="116">
        <v>3</v>
      </c>
      <c r="D7" s="3" t="s">
        <v>990</v>
      </c>
      <c r="E7" s="184"/>
      <c r="F7" s="184"/>
      <c r="G7" s="184" t="s">
        <v>0</v>
      </c>
      <c r="H7" s="184"/>
      <c r="I7" s="184"/>
      <c r="J7" s="184"/>
      <c r="K7" s="184"/>
      <c r="L7" s="184"/>
      <c r="M7" s="185">
        <v>43409</v>
      </c>
      <c r="N7" s="185">
        <v>43409</v>
      </c>
      <c r="O7" s="186"/>
      <c r="P7" s="187">
        <v>1</v>
      </c>
      <c r="Q7" s="187">
        <v>1</v>
      </c>
      <c r="R7" s="188">
        <v>1</v>
      </c>
      <c r="S7" s="188">
        <v>1</v>
      </c>
      <c r="T7" s="185">
        <v>43305</v>
      </c>
      <c r="U7" s="185">
        <v>43306</v>
      </c>
      <c r="V7" s="189">
        <v>2</v>
      </c>
      <c r="W7" s="190">
        <v>2</v>
      </c>
      <c r="X7" s="191">
        <v>1</v>
      </c>
      <c r="Y7" s="218" t="s">
        <v>1184</v>
      </c>
      <c r="Z7" s="192"/>
      <c r="AA7" s="97">
        <v>1</v>
      </c>
      <c r="AB7" s="193">
        <v>1</v>
      </c>
      <c r="AC7" s="123" t="str">
        <f>"  " &amp; TEXT(AB7,"#0.00%") &amp; " " &amp; "프로젝트 착수" &amp; "(모든 조원)" &amp; " " &amp; IF(M7="","",TEXT(M7,"M/D-")) &amp; IF(N7="","",TEXT(N7,"M/D")) &amp; " "</f>
        <v xml:space="preserve">  100.00% 프로젝트 착수(모든 조원) 11/5-11/5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row>
    <row r="8" spans="1:79" outlineLevel="2">
      <c r="A8" s="116"/>
      <c r="B8" s="116" t="s">
        <v>1075</v>
      </c>
      <c r="C8" s="116">
        <v>3</v>
      </c>
      <c r="D8" s="3" t="s">
        <v>1078</v>
      </c>
      <c r="E8" s="184"/>
      <c r="F8" s="184"/>
      <c r="G8" s="184" t="s">
        <v>914</v>
      </c>
      <c r="H8" s="184"/>
      <c r="I8" s="184"/>
      <c r="J8" s="184"/>
      <c r="K8" s="184"/>
      <c r="L8" s="184"/>
      <c r="M8" s="185">
        <v>43410</v>
      </c>
      <c r="N8" s="185">
        <v>43418</v>
      </c>
      <c r="O8" s="186"/>
      <c r="P8" s="187">
        <v>7</v>
      </c>
      <c r="Q8" s="187">
        <v>7</v>
      </c>
      <c r="R8" s="188">
        <v>7</v>
      </c>
      <c r="S8" s="188">
        <v>7</v>
      </c>
      <c r="T8" s="185"/>
      <c r="U8" s="185"/>
      <c r="V8" s="189">
        <v>0</v>
      </c>
      <c r="W8" s="190">
        <v>0</v>
      </c>
      <c r="X8" s="191"/>
      <c r="Y8" s="218" t="s">
        <v>1184</v>
      </c>
      <c r="Z8" s="192"/>
      <c r="AA8" s="97">
        <v>1</v>
      </c>
      <c r="AB8" s="193">
        <v>1</v>
      </c>
      <c r="AC8" s="123"/>
      <c r="AD8" s="4" t="str">
        <f>"    " &amp; TEXT(AB8,"#0.00%") &amp; " " &amp; "프로젝트 범위정의" &amp; "(모든 조원)" &amp; " " &amp; IF(M8="","",TEXT(M8,"M/D-")) &amp; IF(N8="","",TEXT(N8,"M/D")) &amp; " "</f>
        <v xml:space="preserve">    100.00% 프로젝트 범위정의(모든 조원) 11/6-11/14 </v>
      </c>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row>
    <row r="9" spans="1:79" outlineLevel="3">
      <c r="A9" s="116"/>
      <c r="B9" s="116"/>
      <c r="C9" s="116">
        <v>4</v>
      </c>
      <c r="D9" s="3" t="s">
        <v>449</v>
      </c>
      <c r="E9" s="184"/>
      <c r="F9" s="184"/>
      <c r="G9" s="184"/>
      <c r="H9" s="184" t="s">
        <v>427</v>
      </c>
      <c r="I9" s="184"/>
      <c r="J9" s="184"/>
      <c r="K9" s="184"/>
      <c r="L9" s="184"/>
      <c r="M9" s="185">
        <v>43410</v>
      </c>
      <c r="N9" s="185">
        <v>43418</v>
      </c>
      <c r="O9" s="186"/>
      <c r="P9" s="187">
        <v>7</v>
      </c>
      <c r="Q9" s="187">
        <v>7</v>
      </c>
      <c r="R9" s="188">
        <v>7</v>
      </c>
      <c r="S9" s="188">
        <v>7</v>
      </c>
      <c r="T9" s="185">
        <v>43309</v>
      </c>
      <c r="U9" s="185">
        <v>43315</v>
      </c>
      <c r="V9" s="189">
        <v>5</v>
      </c>
      <c r="W9" s="190">
        <v>5</v>
      </c>
      <c r="X9" s="191">
        <v>1</v>
      </c>
      <c r="Y9" s="218" t="s">
        <v>1184</v>
      </c>
      <c r="Z9" s="250" t="s">
        <v>1189</v>
      </c>
      <c r="AA9" s="97">
        <v>1</v>
      </c>
      <c r="AB9" s="193">
        <v>1</v>
      </c>
      <c r="AC9" s="123"/>
      <c r="AD9" s="4" t="str">
        <f>"    " &amp; TEXT(AB9,"#0.00%") &amp; " " &amp; "프로젝트 계획 수립" &amp; "(모든 조원)" &amp; " " &amp; IF(M9="","",TEXT(M9,"M/D-")) &amp; IF(N9="","",TEXT(N9,"M/D")) &amp; " "</f>
        <v xml:space="preserve">    100.00% 프로젝트 계획 수립(모든 조원) 11/6-11/14 </v>
      </c>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row>
    <row r="10" spans="1:79" outlineLevel="1">
      <c r="A10" s="116"/>
      <c r="B10" s="116" t="s">
        <v>1075</v>
      </c>
      <c r="C10" s="116">
        <v>2</v>
      </c>
      <c r="D10" s="3" t="s">
        <v>1079</v>
      </c>
      <c r="E10" s="184"/>
      <c r="F10" s="184" t="s">
        <v>993</v>
      </c>
      <c r="G10" s="184"/>
      <c r="H10" s="184"/>
      <c r="I10" s="184"/>
      <c r="J10" s="184"/>
      <c r="K10" s="184"/>
      <c r="L10" s="184"/>
      <c r="M10" s="185">
        <v>43418</v>
      </c>
      <c r="N10" s="185">
        <v>43439</v>
      </c>
      <c r="O10" s="186"/>
      <c r="P10" s="187">
        <v>4</v>
      </c>
      <c r="Q10" s="187">
        <v>1</v>
      </c>
      <c r="R10" s="188">
        <v>16</v>
      </c>
      <c r="S10" s="188">
        <v>1</v>
      </c>
      <c r="T10" s="185"/>
      <c r="U10" s="185"/>
      <c r="V10" s="189">
        <v>0</v>
      </c>
      <c r="W10" s="190">
        <v>0</v>
      </c>
      <c r="X10" s="191"/>
      <c r="Y10" s="186"/>
      <c r="Z10" s="192"/>
      <c r="AA10" s="97">
        <v>0.25</v>
      </c>
      <c r="AB10" s="193">
        <v>0</v>
      </c>
      <c r="AC10" s="123"/>
      <c r="AD10" s="4" t="str">
        <f>"   " &amp; TEXT(AB10,"#0.00%") &amp; " "</f>
        <v xml:space="preserve">   0.00% </v>
      </c>
      <c r="AE10" s="4"/>
      <c r="AF10" s="4"/>
      <c r="AG10" s="4" t="str">
        <f>"    " &amp; "프로젝트 수행 및 통제" &amp; " " &amp; IF(M10="","",TEXT(M10,"M/D-")) &amp; IF(N10="","",TEXT(N10,"M/D")) &amp; " "</f>
        <v xml:space="preserve">    프로젝트 수행 및 통제 11/14-12/5 </v>
      </c>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row>
    <row r="11" spans="1:79" outlineLevel="2">
      <c r="A11" s="116"/>
      <c r="B11" s="116"/>
      <c r="C11" s="116">
        <v>3</v>
      </c>
      <c r="D11" s="3" t="s">
        <v>431</v>
      </c>
      <c r="E11" s="184"/>
      <c r="F11" s="184"/>
      <c r="G11" s="216" t="s">
        <v>1176</v>
      </c>
      <c r="H11" s="184"/>
      <c r="I11" s="184"/>
      <c r="J11" s="184"/>
      <c r="K11" s="184"/>
      <c r="L11" s="184"/>
      <c r="M11" s="185">
        <v>43418</v>
      </c>
      <c r="N11" s="185">
        <v>43418</v>
      </c>
      <c r="O11" s="186"/>
      <c r="P11" s="187">
        <v>1</v>
      </c>
      <c r="Q11" s="187">
        <v>1</v>
      </c>
      <c r="R11" s="188">
        <v>1</v>
      </c>
      <c r="S11" s="188">
        <v>1</v>
      </c>
      <c r="T11" s="185">
        <v>43330</v>
      </c>
      <c r="U11" s="185">
        <v>43334</v>
      </c>
      <c r="V11" s="189">
        <v>3</v>
      </c>
      <c r="W11" s="190">
        <v>3</v>
      </c>
      <c r="X11" s="191">
        <v>1</v>
      </c>
      <c r="Y11" s="186"/>
      <c r="Z11" s="192"/>
      <c r="AA11" s="97">
        <v>1</v>
      </c>
      <c r="AB11" s="193">
        <v>0</v>
      </c>
      <c r="AC11" s="123"/>
      <c r="AD11" s="4" t="str">
        <f>"   " &amp; TEXT(AB11,"#0.00%") &amp; " " &amp; "주간회의1" &amp; " " &amp; IF(M11="","",TEXT(M11,"M/D-")) &amp; IF(N11="","",TEXT(N11,"M/D")) &amp; " "</f>
        <v xml:space="preserve">   0.00% 주간회의1 11/14-11/14 </v>
      </c>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row>
    <row r="12" spans="1:79" outlineLevel="2">
      <c r="A12" s="116"/>
      <c r="B12" s="116"/>
      <c r="C12" s="116">
        <v>3</v>
      </c>
      <c r="D12" s="3" t="s">
        <v>432</v>
      </c>
      <c r="E12" s="184"/>
      <c r="F12" s="184"/>
      <c r="G12" s="217" t="s">
        <v>1177</v>
      </c>
      <c r="H12" s="184"/>
      <c r="I12" s="184"/>
      <c r="J12" s="184"/>
      <c r="K12" s="184"/>
      <c r="L12" s="184"/>
      <c r="M12" s="185">
        <v>43425</v>
      </c>
      <c r="N12" s="185">
        <v>43425</v>
      </c>
      <c r="O12" s="186"/>
      <c r="P12" s="187">
        <v>1</v>
      </c>
      <c r="Q12" s="187">
        <v>0</v>
      </c>
      <c r="R12" s="188">
        <v>1</v>
      </c>
      <c r="S12" s="188">
        <v>0</v>
      </c>
      <c r="T12" s="185"/>
      <c r="U12" s="185"/>
      <c r="V12" s="189"/>
      <c r="W12" s="190">
        <v>0</v>
      </c>
      <c r="X12" s="191">
        <v>1</v>
      </c>
      <c r="Y12" s="186"/>
      <c r="Z12" s="192"/>
      <c r="AA12" s="97">
        <v>0</v>
      </c>
      <c r="AB12" s="193">
        <v>0</v>
      </c>
      <c r="AC12" s="123"/>
      <c r="AD12" s="4"/>
      <c r="AE12" s="4" t="str">
        <f>"   " &amp; TEXT(AB12,"#0.00%") &amp; " " &amp; "주간회의2" &amp; " " &amp; IF(M12="","",TEXT(M12,"M/D-")) &amp; IF(N12="","",TEXT(N12,"M/D")) &amp; " "</f>
        <v xml:space="preserve">   0.00% 주간회의2 11/21-11/21 </v>
      </c>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row>
    <row r="13" spans="1:79" outlineLevel="2">
      <c r="A13" s="116"/>
      <c r="B13" s="116"/>
      <c r="C13" s="116">
        <v>3</v>
      </c>
      <c r="D13" s="3" t="s">
        <v>433</v>
      </c>
      <c r="E13" s="184"/>
      <c r="F13" s="184"/>
      <c r="G13" s="216" t="s">
        <v>1178</v>
      </c>
      <c r="H13" s="184"/>
      <c r="I13" s="184"/>
      <c r="J13" s="184"/>
      <c r="K13" s="184"/>
      <c r="L13" s="184"/>
      <c r="M13" s="185">
        <v>43432</v>
      </c>
      <c r="N13" s="185">
        <v>43432</v>
      </c>
      <c r="O13" s="186"/>
      <c r="P13" s="187">
        <v>1</v>
      </c>
      <c r="Q13" s="187">
        <v>0</v>
      </c>
      <c r="R13" s="188">
        <v>1</v>
      </c>
      <c r="S13" s="188">
        <v>0</v>
      </c>
      <c r="T13" s="185"/>
      <c r="U13" s="185"/>
      <c r="V13" s="189"/>
      <c r="W13" s="190">
        <v>0</v>
      </c>
      <c r="X13" s="191">
        <v>1</v>
      </c>
      <c r="Y13" s="186"/>
      <c r="Z13" s="192"/>
      <c r="AA13" s="97">
        <v>0</v>
      </c>
      <c r="AB13" s="193">
        <v>0</v>
      </c>
      <c r="AC13" s="123"/>
      <c r="AD13" s="4"/>
      <c r="AE13" s="4"/>
      <c r="AF13" s="4" t="str">
        <f>"   " &amp; TEXT(AB13,"#0.00%") &amp; " " &amp; "주간회의3" &amp; " " &amp; IF(M13="","",TEXT(M13,"M/D-")) &amp; IF(N13="","",TEXT(N13,"M/D")) &amp; " "</f>
        <v xml:space="preserve">   0.00% 주간회의3 11/28-11/28 </v>
      </c>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row>
    <row r="14" spans="1:79" outlineLevel="2">
      <c r="A14" s="116"/>
      <c r="B14" s="116"/>
      <c r="C14" s="116">
        <v>3</v>
      </c>
      <c r="D14" s="3" t="s">
        <v>434</v>
      </c>
      <c r="E14" s="184"/>
      <c r="F14" s="184"/>
      <c r="G14" s="216" t="s">
        <v>1179</v>
      </c>
      <c r="H14" s="184"/>
      <c r="I14" s="184"/>
      <c r="J14" s="184"/>
      <c r="K14" s="184"/>
      <c r="L14" s="184"/>
      <c r="M14" s="185">
        <v>43439</v>
      </c>
      <c r="N14" s="185">
        <v>43439</v>
      </c>
      <c r="O14" s="186"/>
      <c r="P14" s="187">
        <v>1</v>
      </c>
      <c r="Q14" s="187">
        <v>0</v>
      </c>
      <c r="R14" s="188">
        <v>1</v>
      </c>
      <c r="S14" s="188">
        <v>0</v>
      </c>
      <c r="T14" s="185"/>
      <c r="U14" s="185"/>
      <c r="V14" s="189"/>
      <c r="W14" s="190">
        <v>0</v>
      </c>
      <c r="X14" s="191">
        <v>1</v>
      </c>
      <c r="Y14" s="186"/>
      <c r="Z14" s="192"/>
      <c r="AA14" s="97">
        <v>0</v>
      </c>
      <c r="AB14" s="193">
        <v>0</v>
      </c>
      <c r="AC14" s="123"/>
      <c r="AD14" s="4"/>
      <c r="AE14" s="4"/>
      <c r="AF14" s="4"/>
      <c r="AG14" s="4" t="str">
        <f>"   " &amp; TEXT(AB14,"#0.00%") &amp; " " &amp; "주간회의4" &amp; " " &amp; IF(M14="","",TEXT(M14,"M/D-")) &amp; IF(N14="","",TEXT(N14,"M/D")) &amp; " "</f>
        <v xml:space="preserve">   0.00% 주간회의4 12/5-12/5 </v>
      </c>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row>
    <row r="15" spans="1:79" outlineLevel="2">
      <c r="A15" s="116"/>
      <c r="B15" s="116"/>
      <c r="C15" s="116">
        <v>0</v>
      </c>
      <c r="D15" s="3"/>
      <c r="E15" s="184"/>
      <c r="F15" s="184"/>
      <c r="G15" s="184"/>
      <c r="H15" s="184"/>
      <c r="I15" s="184"/>
      <c r="J15" s="184"/>
      <c r="K15" s="184"/>
      <c r="L15" s="184"/>
      <c r="M15" s="185"/>
      <c r="N15" s="185"/>
      <c r="O15" s="186"/>
      <c r="P15" s="187"/>
      <c r="Q15" s="187"/>
      <c r="R15" s="188">
        <v>0</v>
      </c>
      <c r="S15" s="188">
        <v>0</v>
      </c>
      <c r="T15" s="185"/>
      <c r="U15" s="185"/>
      <c r="V15" s="189"/>
      <c r="W15" s="190">
        <v>0</v>
      </c>
      <c r="X15" s="191"/>
      <c r="Y15" s="186"/>
      <c r="Z15" s="192"/>
      <c r="AA15" s="97"/>
      <c r="AB15" s="193"/>
      <c r="AC15" s="123"/>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row>
    <row r="16" spans="1:79" outlineLevel="1">
      <c r="A16" s="116"/>
      <c r="B16" s="116" t="s">
        <v>1075</v>
      </c>
      <c r="C16" s="116">
        <v>2</v>
      </c>
      <c r="D16" s="3" t="s">
        <v>1080</v>
      </c>
      <c r="E16" s="184"/>
      <c r="F16" s="184" t="s">
        <v>994</v>
      </c>
      <c r="G16" s="184"/>
      <c r="H16" s="184"/>
      <c r="I16" s="184"/>
      <c r="J16" s="184"/>
      <c r="K16" s="184"/>
      <c r="L16" s="184"/>
      <c r="M16" s="185">
        <v>43452</v>
      </c>
      <c r="N16" s="185">
        <v>43452</v>
      </c>
      <c r="O16" s="186"/>
      <c r="P16" s="187">
        <v>1</v>
      </c>
      <c r="Q16" s="187">
        <v>0</v>
      </c>
      <c r="R16" s="188">
        <v>1</v>
      </c>
      <c r="S16" s="188">
        <v>0</v>
      </c>
      <c r="T16" s="185"/>
      <c r="U16" s="185"/>
      <c r="V16" s="189">
        <v>0</v>
      </c>
      <c r="W16" s="190">
        <v>0</v>
      </c>
      <c r="X16" s="191"/>
      <c r="Y16" s="186"/>
      <c r="Z16" s="192"/>
      <c r="AA16" s="97">
        <v>0</v>
      </c>
      <c r="AB16" s="193">
        <v>0</v>
      </c>
      <c r="AC16" s="123"/>
      <c r="AD16" s="4"/>
      <c r="AE16" s="4"/>
      <c r="AF16" s="4"/>
      <c r="AG16" s="4"/>
      <c r="AH16" s="4"/>
      <c r="AI16" s="4" t="str">
        <f>"  " &amp; TEXT(AB16,"#0.00%") &amp; " " &amp; "프로젝트 종료" &amp; " " &amp; IF(M16="","",TEXT(M16,"M/D-")) &amp; IF(N16="","",TEXT(N16,"M/D")) &amp; " "</f>
        <v xml:space="preserve">  0.00% 프로젝트 종료 12/18-12/18 </v>
      </c>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row>
    <row r="17" spans="1:77" outlineLevel="2">
      <c r="A17" s="116"/>
      <c r="B17" s="116"/>
      <c r="C17" s="116">
        <v>3</v>
      </c>
      <c r="D17" s="3" t="s">
        <v>435</v>
      </c>
      <c r="E17" s="184"/>
      <c r="F17" s="184"/>
      <c r="G17" s="184" t="s">
        <v>445</v>
      </c>
      <c r="H17" s="184"/>
      <c r="I17" s="184"/>
      <c r="J17" s="184"/>
      <c r="K17" s="184"/>
      <c r="L17" s="184"/>
      <c r="M17" s="185">
        <v>43452</v>
      </c>
      <c r="N17" s="185">
        <v>43452</v>
      </c>
      <c r="O17" s="186"/>
      <c r="P17" s="187">
        <v>1</v>
      </c>
      <c r="Q17" s="187">
        <v>0</v>
      </c>
      <c r="R17" s="188">
        <v>1</v>
      </c>
      <c r="S17" s="188">
        <v>0</v>
      </c>
      <c r="T17" s="185"/>
      <c r="U17" s="185"/>
      <c r="V17" s="189"/>
      <c r="W17" s="190">
        <v>0</v>
      </c>
      <c r="X17" s="191">
        <v>1</v>
      </c>
      <c r="Y17" s="219"/>
      <c r="Z17" s="192"/>
      <c r="AA17" s="97">
        <v>0</v>
      </c>
      <c r="AB17" s="193">
        <v>0</v>
      </c>
      <c r="AC17" s="123"/>
      <c r="AD17" s="4"/>
      <c r="AE17" s="4"/>
      <c r="AF17" s="4"/>
      <c r="AG17" s="4"/>
      <c r="AH17" s="4"/>
      <c r="AI17" s="4" t="str">
        <f>"  " &amp; TEXT(AB17,"#0.00%") &amp; " " &amp; "검수 및 종료" &amp; " " &amp; IF(M17="","",TEXT(M17,"M/D-")) &amp; IF(N17="","",TEXT(N17,"M/D")) &amp; " "</f>
        <v xml:space="preserve">  0.00% 검수 및 종료 12/18-12/18 </v>
      </c>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row>
    <row r="18" spans="1:77">
      <c r="A18" s="116"/>
      <c r="B18" s="116" t="s">
        <v>1075</v>
      </c>
      <c r="C18" s="116">
        <v>1</v>
      </c>
      <c r="D18" s="3" t="s">
        <v>1081</v>
      </c>
      <c r="E18" s="184" t="s">
        <v>1003</v>
      </c>
      <c r="F18" s="184"/>
      <c r="G18" s="184"/>
      <c r="H18" s="184"/>
      <c r="I18" s="184"/>
      <c r="J18" s="184"/>
      <c r="K18" s="184"/>
      <c r="L18" s="184"/>
      <c r="M18" s="185">
        <v>43418</v>
      </c>
      <c r="N18" s="185">
        <v>43452</v>
      </c>
      <c r="O18" s="186"/>
      <c r="P18" s="187">
        <v>34</v>
      </c>
      <c r="Q18" s="187">
        <v>1</v>
      </c>
      <c r="R18" s="188">
        <v>25</v>
      </c>
      <c r="S18" s="188">
        <v>1</v>
      </c>
      <c r="T18" s="185"/>
      <c r="U18" s="185"/>
      <c r="V18" s="189">
        <v>0</v>
      </c>
      <c r="W18" s="190">
        <v>0</v>
      </c>
      <c r="X18" s="191"/>
      <c r="Y18" s="186"/>
      <c r="Z18" s="192"/>
      <c r="AA18" s="97">
        <v>2.9411764705882353E-2</v>
      </c>
      <c r="AB18" s="193">
        <v>6.1764705882352944E-2</v>
      </c>
      <c r="AC18" s="123"/>
      <c r="AD18" s="4" t="str">
        <f>"     " &amp; TEXT(AB18,"#0.00%") &amp; " "</f>
        <v xml:space="preserve">     6.18% </v>
      </c>
      <c r="AE18" s="4"/>
      <c r="AF18" s="4"/>
      <c r="AG18" s="4"/>
      <c r="AH18" s="4"/>
      <c r="AI18" s="4" t="str">
        <f>"   " &amp; "시스템 개발" &amp; " " &amp; IF(M18="","",TEXT(M18,"M/D-")) &amp; IF(N18="","",TEXT(N18,"M/D")) &amp; " "</f>
        <v xml:space="preserve">   시스템 개발 11/14-12/18 </v>
      </c>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row>
    <row r="19" spans="1:77" outlineLevel="1">
      <c r="A19" s="116"/>
      <c r="B19" s="116" t="s">
        <v>1075</v>
      </c>
      <c r="C19" s="116">
        <v>2</v>
      </c>
      <c r="D19" s="3" t="s">
        <v>1082</v>
      </c>
      <c r="E19" s="184"/>
      <c r="F19" s="184" t="s">
        <v>1004</v>
      </c>
      <c r="G19" s="184"/>
      <c r="H19" s="184"/>
      <c r="I19" s="184"/>
      <c r="J19" s="184"/>
      <c r="K19" s="184"/>
      <c r="L19" s="184"/>
      <c r="M19" s="185">
        <v>43418</v>
      </c>
      <c r="N19" s="185">
        <v>43418</v>
      </c>
      <c r="O19" s="186"/>
      <c r="P19" s="187">
        <v>1</v>
      </c>
      <c r="Q19" s="187">
        <v>1</v>
      </c>
      <c r="R19" s="188">
        <v>1</v>
      </c>
      <c r="S19" s="188">
        <v>1</v>
      </c>
      <c r="T19" s="185"/>
      <c r="U19" s="185"/>
      <c r="V19" s="189">
        <v>0</v>
      </c>
      <c r="W19" s="190">
        <v>0</v>
      </c>
      <c r="X19" s="191"/>
      <c r="Y19" s="186"/>
      <c r="Z19" s="192"/>
      <c r="AA19" s="97">
        <v>1</v>
      </c>
      <c r="AB19" s="193">
        <v>0.45</v>
      </c>
      <c r="AC19" s="123"/>
      <c r="AD19" s="4" t="str">
        <f>"   " &amp; TEXT(AB19,"#0.00%") &amp; " " &amp; "분석" &amp; " " &amp; IF(M19="","",TEXT(M19,"M/D-")) &amp; IF(N19="","",TEXT(N19,"M/D")) &amp; " "</f>
        <v xml:space="preserve">   45.00% 분석 11/14-11/14 </v>
      </c>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row>
    <row r="20" spans="1:77" outlineLevel="2">
      <c r="A20" s="116"/>
      <c r="B20" s="116"/>
      <c r="C20" s="116">
        <v>3</v>
      </c>
      <c r="D20" s="3" t="s">
        <v>996</v>
      </c>
      <c r="E20" s="184"/>
      <c r="F20" s="184"/>
      <c r="G20" s="184" t="s">
        <v>446</v>
      </c>
      <c r="H20" s="184"/>
      <c r="I20" s="184"/>
      <c r="J20" s="184"/>
      <c r="K20" s="184"/>
      <c r="L20" s="184"/>
      <c r="M20" s="185">
        <v>43418</v>
      </c>
      <c r="N20" s="185">
        <v>43418</v>
      </c>
      <c r="O20" s="186"/>
      <c r="P20" s="187">
        <v>1</v>
      </c>
      <c r="Q20" s="187">
        <v>1</v>
      </c>
      <c r="R20" s="188">
        <v>1</v>
      </c>
      <c r="S20" s="188">
        <v>1</v>
      </c>
      <c r="T20" s="185">
        <v>43309</v>
      </c>
      <c r="U20" s="185">
        <v>43327</v>
      </c>
      <c r="V20" s="189">
        <v>12</v>
      </c>
      <c r="W20" s="190">
        <v>12</v>
      </c>
      <c r="X20" s="191">
        <v>1</v>
      </c>
      <c r="Y20" s="186"/>
      <c r="Z20" s="192"/>
      <c r="AA20" s="97">
        <v>1</v>
      </c>
      <c r="AB20" s="193">
        <v>0.45</v>
      </c>
      <c r="AC20" s="123"/>
      <c r="AD20" s="4" t="str">
        <f>"   " &amp; TEXT(AB20,"#0.00%") &amp; " " &amp; "요구사항정의" &amp; " " &amp; IF(M20="","",TEXT(M20,"M/D-")) &amp; IF(N20="","",TEXT(N20,"M/D")) &amp; " "</f>
        <v xml:space="preserve">   45.00% 요구사항정의 11/14-11/14 </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row>
    <row r="21" spans="1:77" outlineLevel="1">
      <c r="A21" s="116"/>
      <c r="B21" s="116" t="s">
        <v>1075</v>
      </c>
      <c r="C21" s="116">
        <v>2</v>
      </c>
      <c r="D21" s="3" t="s">
        <v>1083</v>
      </c>
      <c r="E21" s="184"/>
      <c r="F21" s="184" t="s">
        <v>1005</v>
      </c>
      <c r="G21" s="184"/>
      <c r="H21" s="184"/>
      <c r="I21" s="184"/>
      <c r="J21" s="184"/>
      <c r="K21" s="184"/>
      <c r="L21" s="184"/>
      <c r="M21" s="185">
        <v>43419</v>
      </c>
      <c r="N21" s="185">
        <v>43425</v>
      </c>
      <c r="O21" s="186"/>
      <c r="P21" s="187">
        <v>12</v>
      </c>
      <c r="Q21" s="187">
        <v>0</v>
      </c>
      <c r="R21" s="188">
        <v>5</v>
      </c>
      <c r="S21" s="188">
        <v>0</v>
      </c>
      <c r="T21" s="185"/>
      <c r="U21" s="185"/>
      <c r="V21" s="189">
        <v>0</v>
      </c>
      <c r="W21" s="190">
        <v>0</v>
      </c>
      <c r="X21" s="191"/>
      <c r="Y21" s="186"/>
      <c r="Z21" s="192"/>
      <c r="AA21" s="97">
        <v>0</v>
      </c>
      <c r="AB21" s="193">
        <v>0.13750000000000001</v>
      </c>
      <c r="AC21" s="123"/>
      <c r="AD21" s="4" t="str">
        <f>"     " &amp; TEXT(AB21,"#0.00%") &amp; " " &amp; "설계" &amp; " " &amp; IF(M21="","",TEXT(M21,"M/D-")) &amp; IF(N21="","",TEXT(N21,"M/D")) &amp; " "</f>
        <v xml:space="preserve">     13.75% 설계 11/15-11/21 </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row>
    <row r="22" spans="1:77" outlineLevel="2">
      <c r="A22" s="116"/>
      <c r="B22" s="116"/>
      <c r="C22" s="116">
        <v>3</v>
      </c>
      <c r="D22" s="3" t="s">
        <v>999</v>
      </c>
      <c r="E22" s="184"/>
      <c r="F22" s="184"/>
      <c r="G22" s="184" t="s">
        <v>1006</v>
      </c>
      <c r="H22" s="184"/>
      <c r="I22" s="184"/>
      <c r="J22" s="184"/>
      <c r="K22" s="184"/>
      <c r="L22" s="184"/>
      <c r="M22" s="185">
        <v>43419</v>
      </c>
      <c r="N22" s="185">
        <v>43425</v>
      </c>
      <c r="O22" s="186"/>
      <c r="P22" s="187">
        <v>5</v>
      </c>
      <c r="Q22" s="187">
        <v>0</v>
      </c>
      <c r="R22" s="188">
        <v>5</v>
      </c>
      <c r="S22" s="188">
        <v>0</v>
      </c>
      <c r="T22" s="185">
        <v>43329</v>
      </c>
      <c r="U22" s="185"/>
      <c r="V22" s="189">
        <v>-30942</v>
      </c>
      <c r="W22" s="190">
        <v>0</v>
      </c>
      <c r="X22" s="191">
        <v>1</v>
      </c>
      <c r="Y22" s="186"/>
      <c r="Z22" s="192"/>
      <c r="AA22" s="97">
        <v>0</v>
      </c>
      <c r="AB22" s="193">
        <v>0.33</v>
      </c>
      <c r="AC22" s="123"/>
      <c r="AD22" s="4" t="str">
        <f>"      " &amp; TEXT(AB22,"#0.00%") &amp; " " &amp; "UI 설계" &amp; " " &amp; IF(M22="","",TEXT(M22,"M/D-")) &amp; IF(N22="","",TEXT(N22,"M/D")) &amp; " "</f>
        <v xml:space="preserve">      33.00% UI 설계 11/15-11/21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row>
    <row r="23" spans="1:77" outlineLevel="2">
      <c r="A23" s="116"/>
      <c r="B23" s="116" t="s">
        <v>1075</v>
      </c>
      <c r="C23" s="116">
        <v>3</v>
      </c>
      <c r="D23" s="3" t="s">
        <v>1084</v>
      </c>
      <c r="E23" s="184"/>
      <c r="F23" s="184"/>
      <c r="G23" s="184" t="s">
        <v>1007</v>
      </c>
      <c r="H23" s="184"/>
      <c r="I23" s="184"/>
      <c r="J23" s="184"/>
      <c r="K23" s="184"/>
      <c r="L23" s="184"/>
      <c r="M23" s="185">
        <v>43422</v>
      </c>
      <c r="N23" s="185">
        <v>43425</v>
      </c>
      <c r="O23" s="186"/>
      <c r="P23" s="187">
        <v>6</v>
      </c>
      <c r="Q23" s="187">
        <v>0</v>
      </c>
      <c r="R23" s="188">
        <v>3</v>
      </c>
      <c r="S23" s="188">
        <v>0</v>
      </c>
      <c r="T23" s="185"/>
      <c r="U23" s="185"/>
      <c r="V23" s="189">
        <v>0</v>
      </c>
      <c r="W23" s="190">
        <v>0</v>
      </c>
      <c r="X23" s="191"/>
      <c r="Y23" s="186"/>
      <c r="Z23" s="192"/>
      <c r="AA23" s="97">
        <v>0</v>
      </c>
      <c r="AB23" s="193">
        <v>0</v>
      </c>
      <c r="AC23" s="123"/>
      <c r="AD23" s="4"/>
      <c r="AE23" s="4" t="str">
        <f>"" &amp; TEXT(AB23,"#0.00%") &amp; " " &amp; "시스템 설계" &amp; " " &amp; IF(M23="","",TEXT(M23,"M/D-")) &amp; IF(N23="","",TEXT(N23,"M/D")) &amp; " "</f>
        <v xml:space="preserve">0.00% 시스템 설계 11/18-11/21 </v>
      </c>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row>
    <row r="24" spans="1:77" outlineLevel="3">
      <c r="A24" s="116"/>
      <c r="B24" s="116"/>
      <c r="C24" s="116">
        <v>4</v>
      </c>
      <c r="D24" s="3" t="s">
        <v>1008</v>
      </c>
      <c r="E24" s="184"/>
      <c r="F24" s="184"/>
      <c r="G24" s="184"/>
      <c r="H24" s="217" t="s">
        <v>1186</v>
      </c>
      <c r="I24" s="184"/>
      <c r="J24" s="184"/>
      <c r="K24" s="184"/>
      <c r="L24" s="184"/>
      <c r="M24" s="185">
        <v>43422</v>
      </c>
      <c r="N24" s="185">
        <v>43425</v>
      </c>
      <c r="O24" s="186"/>
      <c r="P24" s="187">
        <v>3</v>
      </c>
      <c r="Q24" s="187">
        <v>0</v>
      </c>
      <c r="R24" s="188">
        <v>3</v>
      </c>
      <c r="S24" s="188">
        <v>0</v>
      </c>
      <c r="T24" s="185">
        <v>43336</v>
      </c>
      <c r="U24" s="185"/>
      <c r="V24" s="189">
        <v>-30947</v>
      </c>
      <c r="W24" s="190">
        <v>0</v>
      </c>
      <c r="X24" s="191">
        <v>1</v>
      </c>
      <c r="Y24" s="186"/>
      <c r="Z24" s="192"/>
      <c r="AA24" s="97">
        <v>0</v>
      </c>
      <c r="AB24" s="193">
        <v>0</v>
      </c>
      <c r="AC24" s="123"/>
      <c r="AD24" s="4"/>
      <c r="AE24" s="4" t="str">
        <f>"" &amp; TEXT(AB24,"#0.00%") &amp; " " &amp; "회로설계" &amp; " " &amp; IF(M24="","",TEXT(M24,"M/D-")) &amp; IF(N24="","",TEXT(N24,"M/D")) &amp; " "</f>
        <v xml:space="preserve">0.00% 회로설계 11/18-11/21 </v>
      </c>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row>
    <row r="25" spans="1:77" outlineLevel="3">
      <c r="A25" s="116"/>
      <c r="B25" s="116"/>
      <c r="C25" s="116">
        <v>4</v>
      </c>
      <c r="D25" s="3" t="s">
        <v>1010</v>
      </c>
      <c r="E25" s="184"/>
      <c r="F25" s="184"/>
      <c r="G25" s="184"/>
      <c r="H25" s="184" t="s">
        <v>1013</v>
      </c>
      <c r="I25" s="184"/>
      <c r="J25" s="184"/>
      <c r="K25" s="184"/>
      <c r="L25" s="184"/>
      <c r="M25" s="185">
        <v>43422</v>
      </c>
      <c r="N25" s="185">
        <v>43425</v>
      </c>
      <c r="O25" s="186"/>
      <c r="P25" s="187">
        <v>3</v>
      </c>
      <c r="Q25" s="187">
        <v>0</v>
      </c>
      <c r="R25" s="188">
        <v>3</v>
      </c>
      <c r="S25" s="188">
        <v>0</v>
      </c>
      <c r="T25" s="185"/>
      <c r="U25" s="185"/>
      <c r="V25" s="189"/>
      <c r="W25" s="190">
        <v>0</v>
      </c>
      <c r="X25" s="191">
        <v>1</v>
      </c>
      <c r="Y25" s="186"/>
      <c r="Z25" s="192"/>
      <c r="AA25" s="97">
        <v>0</v>
      </c>
      <c r="AB25" s="193">
        <v>0</v>
      </c>
      <c r="AC25" s="123"/>
      <c r="AD25" s="4"/>
      <c r="AE25" s="4" t="str">
        <f>"" &amp; TEXT(AB25,"#0.00%") &amp; " " &amp; "프로그램설계" &amp; " " &amp; IF(M25="","",TEXT(M25,"M/D-")) &amp; IF(N25="","",TEXT(N25,"M/D")) &amp; " "</f>
        <v xml:space="preserve">0.00% 프로그램설계 11/18-11/21 </v>
      </c>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row>
    <row r="26" spans="1:77" outlineLevel="2">
      <c r="A26" s="116"/>
      <c r="B26" s="116"/>
      <c r="C26" s="116">
        <v>3</v>
      </c>
      <c r="D26" s="3" t="s">
        <v>1000</v>
      </c>
      <c r="E26" s="184"/>
      <c r="F26" s="184"/>
      <c r="G26" s="184" t="s">
        <v>1014</v>
      </c>
      <c r="H26" s="184"/>
      <c r="I26" s="184"/>
      <c r="J26" s="184"/>
      <c r="K26" s="184"/>
      <c r="L26" s="184"/>
      <c r="M26" s="185">
        <v>43425</v>
      </c>
      <c r="N26" s="185">
        <v>43425</v>
      </c>
      <c r="O26" s="186"/>
      <c r="P26" s="187">
        <v>1</v>
      </c>
      <c r="Q26" s="187">
        <v>0</v>
      </c>
      <c r="R26" s="188">
        <v>1</v>
      </c>
      <c r="S26" s="188">
        <v>0</v>
      </c>
      <c r="T26" s="185"/>
      <c r="U26" s="185"/>
      <c r="V26" s="189"/>
      <c r="W26" s="190">
        <v>0</v>
      </c>
      <c r="X26" s="191">
        <v>1</v>
      </c>
      <c r="Y26" s="186"/>
      <c r="Z26" s="192"/>
      <c r="AA26" s="97">
        <v>0</v>
      </c>
      <c r="AB26" s="193">
        <v>0</v>
      </c>
      <c r="AC26" s="123"/>
      <c r="AD26" s="4"/>
      <c r="AE26" s="4" t="str">
        <f>"   " &amp; TEXT(AB26,"#0.00%") &amp; " " &amp; "테스트 설계" &amp; " " &amp; IF(M26="","",TEXT(M26,"M/D-")) &amp; IF(N26="","",TEXT(N26,"M/D")) &amp; " "</f>
        <v xml:space="preserve">   0.00% 테스트 설계 11/21-11/21 </v>
      </c>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row>
    <row r="27" spans="1:77" outlineLevel="1">
      <c r="A27" s="116"/>
      <c r="B27" s="116" t="s">
        <v>1075</v>
      </c>
      <c r="C27" s="116">
        <v>2</v>
      </c>
      <c r="D27" s="3" t="s">
        <v>1085</v>
      </c>
      <c r="E27" s="184"/>
      <c r="F27" s="184" t="s">
        <v>1015</v>
      </c>
      <c r="G27" s="184"/>
      <c r="H27" s="184"/>
      <c r="I27" s="184"/>
      <c r="J27" s="184"/>
      <c r="K27" s="184"/>
      <c r="L27" s="184"/>
      <c r="M27" s="185">
        <v>43425</v>
      </c>
      <c r="N27" s="185">
        <v>43444</v>
      </c>
      <c r="O27" s="186"/>
      <c r="P27" s="187">
        <v>20</v>
      </c>
      <c r="Q27" s="187">
        <v>0</v>
      </c>
      <c r="R27" s="188">
        <v>14</v>
      </c>
      <c r="S27" s="188">
        <v>0</v>
      </c>
      <c r="T27" s="185"/>
      <c r="U27" s="185"/>
      <c r="V27" s="189">
        <v>0</v>
      </c>
      <c r="W27" s="190">
        <v>0</v>
      </c>
      <c r="X27" s="191"/>
      <c r="Y27" s="186"/>
      <c r="Z27" s="192"/>
      <c r="AA27" s="97">
        <v>0</v>
      </c>
      <c r="AB27" s="193">
        <v>0</v>
      </c>
      <c r="AC27" s="123"/>
      <c r="AD27" s="4"/>
      <c r="AE27" s="4" t="str">
        <f>"   " &amp; TEXT(AB27,"#0.00%") &amp; " "</f>
        <v xml:space="preserve">   0.00% </v>
      </c>
      <c r="AF27" s="4"/>
      <c r="AG27" s="4"/>
      <c r="AH27" s="4" t="str">
        <f>"  " &amp; "개발" &amp; " " &amp; IF(M27="","",TEXT(M27,"M/D-")) &amp; IF(N27="","",TEXT(N27,"M/D")) &amp; " "</f>
        <v xml:space="preserve">  개발 11/21-12/10 </v>
      </c>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row>
    <row r="28" spans="1:77" outlineLevel="2">
      <c r="A28" s="116"/>
      <c r="B28" s="116" t="s">
        <v>1075</v>
      </c>
      <c r="C28" s="116">
        <v>3</v>
      </c>
      <c r="D28" s="3" t="s">
        <v>1086</v>
      </c>
      <c r="E28" s="184"/>
      <c r="F28" s="184"/>
      <c r="G28" s="184" t="s">
        <v>1016</v>
      </c>
      <c r="H28" s="184"/>
      <c r="I28" s="184"/>
      <c r="J28" s="184"/>
      <c r="K28" s="184"/>
      <c r="L28" s="184"/>
      <c r="M28" s="185">
        <v>43425</v>
      </c>
      <c r="N28" s="185">
        <v>43443</v>
      </c>
      <c r="O28" s="186"/>
      <c r="P28" s="187">
        <v>19</v>
      </c>
      <c r="Q28" s="187">
        <v>0</v>
      </c>
      <c r="R28" s="188">
        <v>13</v>
      </c>
      <c r="S28" s="188">
        <v>0</v>
      </c>
      <c r="T28" s="185"/>
      <c r="U28" s="185"/>
      <c r="V28" s="189">
        <v>0</v>
      </c>
      <c r="W28" s="190">
        <v>0</v>
      </c>
      <c r="X28" s="191"/>
      <c r="Y28" s="186"/>
      <c r="Z28" s="192"/>
      <c r="AA28" s="97">
        <v>0</v>
      </c>
      <c r="AB28" s="193">
        <v>0</v>
      </c>
      <c r="AC28" s="123"/>
      <c r="AD28" s="4"/>
      <c r="AE28" s="4" t="str">
        <f>"   " &amp; TEXT(AB28,"#0.00%") &amp; " "</f>
        <v xml:space="preserve">   0.00% </v>
      </c>
      <c r="AF28" s="4"/>
      <c r="AG28" s="4"/>
      <c r="AH28" s="4" t="str">
        <f>" " &amp; "프로그램 개발" &amp; " " &amp; IF(M28="","",TEXT(M28,"M/D-")) &amp; IF(N28="","",TEXT(N28,"M/D")) &amp; " "</f>
        <v xml:space="preserve"> 프로그램 개발 11/21-12/9 </v>
      </c>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row>
    <row r="29" spans="1:77" outlineLevel="3">
      <c r="A29" s="116"/>
      <c r="B29" s="116"/>
      <c r="C29" s="116">
        <v>4</v>
      </c>
      <c r="D29" s="3" t="s">
        <v>1017</v>
      </c>
      <c r="E29" s="184"/>
      <c r="F29" s="184"/>
      <c r="G29" s="184"/>
      <c r="H29" s="184" t="s">
        <v>1018</v>
      </c>
      <c r="I29" s="184"/>
      <c r="J29" s="184"/>
      <c r="K29" s="184"/>
      <c r="L29" s="184"/>
      <c r="M29" s="185">
        <v>43425</v>
      </c>
      <c r="N29" s="185">
        <v>43425</v>
      </c>
      <c r="O29" s="186"/>
      <c r="P29" s="187">
        <v>1</v>
      </c>
      <c r="Q29" s="187">
        <v>0</v>
      </c>
      <c r="R29" s="188">
        <v>1</v>
      </c>
      <c r="S29" s="188">
        <v>0</v>
      </c>
      <c r="T29" s="185"/>
      <c r="U29" s="185"/>
      <c r="V29" s="189"/>
      <c r="W29" s="190">
        <v>0</v>
      </c>
      <c r="X29" s="191">
        <v>1</v>
      </c>
      <c r="Y29" s="186"/>
      <c r="Z29" s="192"/>
      <c r="AA29" s="97">
        <v>0</v>
      </c>
      <c r="AB29" s="193">
        <v>0</v>
      </c>
      <c r="AC29" s="123"/>
      <c r="AD29" s="4"/>
      <c r="AE29" s="4" t="str">
        <f>"   " &amp; TEXT(AB29,"#0.00%") &amp; " " &amp; "단위테스트시나리오작성" &amp; " " &amp; IF(M29="","",TEXT(M29,"M/D-")) &amp; IF(N29="","",TEXT(N29,"M/D")) &amp; " "</f>
        <v xml:space="preserve">   0.00% 단위테스트시나리오작성 11/21-11/21 </v>
      </c>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row>
    <row r="30" spans="1:77" outlineLevel="3">
      <c r="A30" s="116"/>
      <c r="B30" s="116" t="s">
        <v>1075</v>
      </c>
      <c r="C30" s="116">
        <v>4</v>
      </c>
      <c r="D30" s="3" t="s">
        <v>1087</v>
      </c>
      <c r="E30" s="184"/>
      <c r="F30" s="184"/>
      <c r="G30" s="184"/>
      <c r="H30" s="184" t="s">
        <v>1019</v>
      </c>
      <c r="I30" s="184"/>
      <c r="J30" s="184"/>
      <c r="K30" s="184"/>
      <c r="L30" s="184"/>
      <c r="M30" s="185">
        <v>43434</v>
      </c>
      <c r="N30" s="185">
        <v>43443</v>
      </c>
      <c r="O30" s="186"/>
      <c r="P30" s="187">
        <v>18</v>
      </c>
      <c r="Q30" s="187">
        <v>0</v>
      </c>
      <c r="R30" s="188">
        <v>6</v>
      </c>
      <c r="S30" s="188">
        <v>0</v>
      </c>
      <c r="T30" s="185"/>
      <c r="U30" s="185"/>
      <c r="V30" s="189">
        <v>0</v>
      </c>
      <c r="W30" s="190">
        <v>0</v>
      </c>
      <c r="X30" s="191"/>
      <c r="Y30" s="186"/>
      <c r="Z30" s="192"/>
      <c r="AA30" s="97">
        <v>0</v>
      </c>
      <c r="AB30" s="193">
        <v>0</v>
      </c>
      <c r="AC30" s="123"/>
      <c r="AD30" s="4"/>
      <c r="AE30" s="4"/>
      <c r="AF30" s="4" t="str">
        <f>"     " &amp; TEXT(AB30,"#0.00%") &amp; " " &amp; "프로그램코딩 및 단위테스트" &amp; " " &amp; IF(M30="","",TEXT(M30,"M/D-")) &amp; IF(N30="","",TEXT(N30,"M/D")) &amp; " "</f>
        <v xml:space="preserve">     0.00% 프로그램코딩 및 단위테스트 11/30-12/9 </v>
      </c>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row>
    <row r="31" spans="1:77" outlineLevel="4">
      <c r="A31" s="116"/>
      <c r="B31" s="116"/>
      <c r="C31" s="116">
        <v>5</v>
      </c>
      <c r="D31" s="3" t="s">
        <v>1088</v>
      </c>
      <c r="E31" s="184"/>
      <c r="F31" s="184"/>
      <c r="G31" s="184"/>
      <c r="H31" s="184"/>
      <c r="I31" s="217" t="s">
        <v>1180</v>
      </c>
      <c r="J31" s="184"/>
      <c r="K31" s="184"/>
      <c r="L31" s="184"/>
      <c r="M31" s="185">
        <v>43434</v>
      </c>
      <c r="N31" s="185">
        <v>43443</v>
      </c>
      <c r="O31" s="186"/>
      <c r="P31" s="187">
        <v>6</v>
      </c>
      <c r="Q31" s="187">
        <v>0</v>
      </c>
      <c r="R31" s="188">
        <v>6</v>
      </c>
      <c r="S31" s="188">
        <v>0</v>
      </c>
      <c r="T31" s="185"/>
      <c r="U31" s="185"/>
      <c r="V31" s="189"/>
      <c r="W31" s="190">
        <v>0</v>
      </c>
      <c r="X31" s="191">
        <v>1</v>
      </c>
      <c r="Y31" s="218" t="s">
        <v>1187</v>
      </c>
      <c r="Z31" s="192"/>
      <c r="AA31" s="97">
        <v>0</v>
      </c>
      <c r="AB31" s="193">
        <v>0</v>
      </c>
      <c r="AC31" s="123"/>
      <c r="AD31" s="4"/>
      <c r="AE31" s="4"/>
      <c r="AF31" s="4" t="str">
        <f>"     " &amp; TEXT(AB31,"#0.00%") &amp; " " &amp; "비료제작기" &amp; "(이창현, 주한길)" &amp; " " &amp; IF(M31="","",TEXT(M31,"M/D-")) &amp; IF(N31="","",TEXT(N31,"M/D")) &amp; " "</f>
        <v xml:space="preserve">     0.00% 비료제작기(이창현, 주한길) 11/30-12/9 </v>
      </c>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row>
    <row r="32" spans="1:77" outlineLevel="4">
      <c r="A32" s="116"/>
      <c r="B32" s="116"/>
      <c r="C32" s="116">
        <v>5</v>
      </c>
      <c r="D32" s="3" t="s">
        <v>1026</v>
      </c>
      <c r="E32" s="184"/>
      <c r="F32" s="184"/>
      <c r="G32" s="184"/>
      <c r="H32" s="184"/>
      <c r="I32" s="217" t="s">
        <v>1181</v>
      </c>
      <c r="J32" s="184"/>
      <c r="K32" s="184"/>
      <c r="L32" s="184"/>
      <c r="M32" s="185">
        <v>43434</v>
      </c>
      <c r="N32" s="185">
        <v>43443</v>
      </c>
      <c r="O32" s="186"/>
      <c r="P32" s="187">
        <v>6</v>
      </c>
      <c r="Q32" s="187">
        <v>0</v>
      </c>
      <c r="R32" s="188">
        <v>6</v>
      </c>
      <c r="S32" s="188">
        <v>0</v>
      </c>
      <c r="T32" s="185"/>
      <c r="U32" s="185"/>
      <c r="V32" s="189"/>
      <c r="W32" s="190">
        <v>0</v>
      </c>
      <c r="X32" s="191">
        <v>1</v>
      </c>
      <c r="Y32" s="218" t="s">
        <v>1188</v>
      </c>
      <c r="Z32" s="192"/>
      <c r="AA32" s="97">
        <v>0</v>
      </c>
      <c r="AB32" s="193">
        <v>0</v>
      </c>
      <c r="AC32" s="123"/>
      <c r="AD32" s="4"/>
      <c r="AE32" s="4"/>
      <c r="AF32" s="4" t="str">
        <f>"     " &amp; TEXT(AB32,"#0.00%") &amp; " " &amp; "스마트화분" &amp; "(황혜원, 채원부)" &amp; " " &amp; IF(M32="","",TEXT(M32,"M/D-")) &amp; IF(N32="","",TEXT(N32,"M/D")) &amp; " "</f>
        <v xml:space="preserve">     0.00% 스마트화분(황혜원, 채원부) 11/30-12/9 </v>
      </c>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row>
    <row r="33" spans="1:77" outlineLevel="4">
      <c r="A33" s="116"/>
      <c r="B33" s="116"/>
      <c r="C33" s="116">
        <v>5</v>
      </c>
      <c r="D33" s="3" t="s">
        <v>1028</v>
      </c>
      <c r="E33" s="184"/>
      <c r="F33" s="184"/>
      <c r="G33" s="184"/>
      <c r="H33" s="184"/>
      <c r="I33" s="217" t="s">
        <v>1182</v>
      </c>
      <c r="J33" s="184"/>
      <c r="K33" s="184"/>
      <c r="L33" s="184"/>
      <c r="M33" s="185">
        <v>43434</v>
      </c>
      <c r="N33" s="185">
        <v>43443</v>
      </c>
      <c r="O33" s="186"/>
      <c r="P33" s="187">
        <v>6</v>
      </c>
      <c r="Q33" s="187">
        <v>0</v>
      </c>
      <c r="R33" s="188">
        <v>6</v>
      </c>
      <c r="S33" s="188">
        <v>0</v>
      </c>
      <c r="T33" s="185"/>
      <c r="U33" s="185"/>
      <c r="V33" s="189"/>
      <c r="W33" s="190">
        <v>0</v>
      </c>
      <c r="X33" s="191">
        <v>1</v>
      </c>
      <c r="Y33" s="219" t="s">
        <v>1185</v>
      </c>
      <c r="Z33" s="192"/>
      <c r="AA33" s="97">
        <v>0</v>
      </c>
      <c r="AB33" s="193">
        <v>0</v>
      </c>
      <c r="AC33" s="123"/>
      <c r="AD33" s="4"/>
      <c r="AE33" s="4"/>
      <c r="AF33" s="4" t="str">
        <f>"     " &amp; TEXT(AB33,"#0.00%") &amp; " " &amp; "어플리케이션" &amp; "(김영환)" &amp; " " &amp; IF(M33="","",TEXT(M33,"M/D-")) &amp; IF(N33="","",TEXT(N33,"M/D")) &amp; " "</f>
        <v xml:space="preserve">     0.00% 어플리케이션(김영환) 11/30-12/9 </v>
      </c>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row>
    <row r="34" spans="1:77" outlineLevel="2">
      <c r="A34" s="116"/>
      <c r="B34" s="116" t="s">
        <v>1075</v>
      </c>
      <c r="C34" s="116">
        <v>3</v>
      </c>
      <c r="D34" s="3" t="s">
        <v>1089</v>
      </c>
      <c r="E34" s="184"/>
      <c r="F34" s="184"/>
      <c r="G34" s="184" t="s">
        <v>1032</v>
      </c>
      <c r="H34" s="184"/>
      <c r="I34" s="184"/>
      <c r="J34" s="184"/>
      <c r="K34" s="184"/>
      <c r="L34" s="184"/>
      <c r="M34" s="185">
        <v>43444</v>
      </c>
      <c r="N34" s="185">
        <v>43444</v>
      </c>
      <c r="O34" s="186"/>
      <c r="P34" s="187">
        <v>1</v>
      </c>
      <c r="Q34" s="187">
        <v>0</v>
      </c>
      <c r="R34" s="188">
        <v>1</v>
      </c>
      <c r="S34" s="188">
        <v>0</v>
      </c>
      <c r="T34" s="185"/>
      <c r="U34" s="185"/>
      <c r="V34" s="189">
        <v>0</v>
      </c>
      <c r="W34" s="190">
        <v>0</v>
      </c>
      <c r="X34" s="191"/>
      <c r="Y34" s="186"/>
      <c r="Z34" s="192"/>
      <c r="AA34" s="97">
        <v>0</v>
      </c>
      <c r="AB34" s="193">
        <v>0</v>
      </c>
      <c r="AC34" s="123"/>
      <c r="AD34" s="4"/>
      <c r="AE34" s="4"/>
      <c r="AF34" s="4"/>
      <c r="AG34" s="4"/>
      <c r="AH34" s="4" t="str">
        <f>" " &amp; TEXT(AB34,"#0.00%") &amp; " " &amp; "테스트실시" &amp; " " &amp; IF(M34="","",TEXT(M34,"M/D-")) &amp; IF(N34="","",TEXT(N34,"M/D")) &amp; " "</f>
        <v xml:space="preserve"> 0.00% 테스트실시 12/10-12/10 </v>
      </c>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row>
    <row r="35" spans="1:77" outlineLevel="3">
      <c r="A35" s="116"/>
      <c r="B35" s="116"/>
      <c r="C35" s="116">
        <v>4</v>
      </c>
      <c r="D35" s="3" t="s">
        <v>1033</v>
      </c>
      <c r="E35" s="184"/>
      <c r="F35" s="184"/>
      <c r="G35" s="184"/>
      <c r="H35" s="184" t="s">
        <v>1034</v>
      </c>
      <c r="I35" s="184"/>
      <c r="J35" s="184"/>
      <c r="K35" s="184"/>
      <c r="L35" s="184"/>
      <c r="M35" s="185">
        <v>43444</v>
      </c>
      <c r="N35" s="185">
        <v>43444</v>
      </c>
      <c r="O35" s="186"/>
      <c r="P35" s="187">
        <v>1</v>
      </c>
      <c r="Q35" s="187">
        <v>0</v>
      </c>
      <c r="R35" s="188">
        <v>1</v>
      </c>
      <c r="S35" s="188">
        <v>0</v>
      </c>
      <c r="T35" s="185"/>
      <c r="U35" s="185"/>
      <c r="V35" s="189"/>
      <c r="W35" s="190">
        <v>0</v>
      </c>
      <c r="X35" s="191">
        <v>1</v>
      </c>
      <c r="Y35" s="186"/>
      <c r="Z35" s="192"/>
      <c r="AA35" s="97">
        <v>0</v>
      </c>
      <c r="AB35" s="193">
        <v>0</v>
      </c>
      <c r="AC35" s="123"/>
      <c r="AD35" s="4"/>
      <c r="AE35" s="4"/>
      <c r="AF35" s="4"/>
      <c r="AG35" s="4"/>
      <c r="AH35" s="4" t="str">
        <f>" " &amp; TEXT(AB35,"#0.00%") &amp; " " &amp; "통합테스트실시" &amp; " " &amp; IF(M35="","",TEXT(M35,"M/D-")) &amp; IF(N35="","",TEXT(N35,"M/D")) &amp; " "</f>
        <v xml:space="preserve"> 0.00% 통합테스트실시 12/10-12/10 </v>
      </c>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row>
    <row r="36" spans="1:77" outlineLevel="1">
      <c r="A36" s="116"/>
      <c r="B36" s="116" t="s">
        <v>1075</v>
      </c>
      <c r="C36" s="116">
        <v>2</v>
      </c>
      <c r="D36" s="3" t="s">
        <v>1090</v>
      </c>
      <c r="E36" s="184"/>
      <c r="F36" s="184" t="s">
        <v>1037</v>
      </c>
      <c r="G36" s="184"/>
      <c r="H36" s="184"/>
      <c r="I36" s="184"/>
      <c r="J36" s="184"/>
      <c r="K36" s="184"/>
      <c r="L36" s="184"/>
      <c r="M36" s="185">
        <v>43452</v>
      </c>
      <c r="N36" s="185">
        <v>43452</v>
      </c>
      <c r="O36" s="186"/>
      <c r="P36" s="187">
        <v>1</v>
      </c>
      <c r="Q36" s="187">
        <v>0</v>
      </c>
      <c r="R36" s="188">
        <v>1</v>
      </c>
      <c r="S36" s="188">
        <v>0</v>
      </c>
      <c r="T36" s="185"/>
      <c r="U36" s="185"/>
      <c r="V36" s="189">
        <v>0</v>
      </c>
      <c r="W36" s="190">
        <v>0</v>
      </c>
      <c r="X36" s="191"/>
      <c r="Y36" s="186"/>
      <c r="Z36" s="192"/>
      <c r="AA36" s="97">
        <v>0</v>
      </c>
      <c r="AB36" s="193">
        <v>0</v>
      </c>
      <c r="AC36" s="123"/>
      <c r="AD36" s="4"/>
      <c r="AE36" s="4"/>
      <c r="AF36" s="4"/>
      <c r="AG36" s="4"/>
      <c r="AH36" s="4"/>
      <c r="AI36" s="4" t="str">
        <f>"  " &amp; TEXT(AB36,"#0.00%") &amp; " " &amp; "구현" &amp; " " &amp; IF(M36="","",TEXT(M36,"M/D-")) &amp; IF(N36="","",TEXT(N36,"M/D")) &amp; " "</f>
        <v xml:space="preserve">  0.00% 구현 12/18-12/18 </v>
      </c>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row>
    <row r="37" spans="1:77" outlineLevel="2">
      <c r="A37" s="116"/>
      <c r="B37" s="116"/>
      <c r="C37" s="116">
        <v>3</v>
      </c>
      <c r="D37" s="3" t="s">
        <v>1091</v>
      </c>
      <c r="E37" s="184"/>
      <c r="F37" s="184"/>
      <c r="G37" s="217" t="s">
        <v>1183</v>
      </c>
      <c r="H37" s="184"/>
      <c r="I37" s="184"/>
      <c r="J37" s="184"/>
      <c r="K37" s="184"/>
      <c r="L37" s="184"/>
      <c r="M37" s="185">
        <v>43452</v>
      </c>
      <c r="N37" s="185">
        <v>43452</v>
      </c>
      <c r="O37" s="186"/>
      <c r="P37" s="187">
        <v>1</v>
      </c>
      <c r="Q37" s="187">
        <v>0</v>
      </c>
      <c r="R37" s="188">
        <v>1</v>
      </c>
      <c r="S37" s="188">
        <v>0</v>
      </c>
      <c r="T37" s="185"/>
      <c r="U37" s="185"/>
      <c r="V37" s="189"/>
      <c r="W37" s="190">
        <v>0</v>
      </c>
      <c r="X37" s="191">
        <v>1</v>
      </c>
      <c r="Y37" s="186"/>
      <c r="Z37" s="192"/>
      <c r="AA37" s="97">
        <v>0</v>
      </c>
      <c r="AB37" s="193">
        <v>0</v>
      </c>
      <c r="AC37" s="123"/>
      <c r="AD37" s="4"/>
      <c r="AE37" s="4"/>
      <c r="AF37" s="4"/>
      <c r="AG37" s="4"/>
      <c r="AH37" s="4"/>
      <c r="AI37" s="4" t="str">
        <f>"  " &amp; TEXT(AB37,"#0.00%") &amp; " " &amp; "발표" &amp; " " &amp; IF(M37="","",TEXT(M37,"M/D-")) &amp; IF(N37="","",TEXT(N37,"M/D")) &amp; " "</f>
        <v xml:space="preserve">  0.00% 발표 12/18-12/18 </v>
      </c>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row>
    <row r="38" spans="1:77">
      <c r="A38" s="194"/>
      <c r="B38" s="194"/>
      <c r="C38" s="194"/>
      <c r="D38" s="195"/>
      <c r="E38" s="196"/>
      <c r="F38" s="196"/>
      <c r="G38" s="196"/>
      <c r="H38" s="196"/>
      <c r="I38" s="196"/>
      <c r="J38" s="196"/>
      <c r="K38" s="196"/>
      <c r="L38" s="196"/>
      <c r="M38" s="197"/>
      <c r="N38" s="197"/>
      <c r="O38" s="198"/>
      <c r="P38" s="199"/>
      <c r="Q38" s="199"/>
      <c r="R38" s="200"/>
      <c r="S38" s="200"/>
      <c r="T38" s="197"/>
      <c r="U38" s="197"/>
      <c r="V38" s="201"/>
      <c r="W38" s="202"/>
      <c r="X38" s="203"/>
      <c r="Y38" s="198"/>
      <c r="Z38" s="204"/>
      <c r="AA38" s="205"/>
      <c r="AB38" s="206"/>
      <c r="AC38" s="182"/>
      <c r="AD38" s="182"/>
      <c r="AE38" s="182"/>
      <c r="AF38" s="182"/>
      <c r="AG38" s="182"/>
      <c r="AH38" s="182"/>
      <c r="AI38" s="182"/>
      <c r="AJ38" s="182"/>
      <c r="AK38" s="182"/>
      <c r="AL38" s="182"/>
      <c r="AM38" s="182"/>
      <c r="AN38" s="182"/>
      <c r="AO38" s="182"/>
      <c r="AP38" s="182"/>
      <c r="AQ38" s="182"/>
      <c r="AR38" s="182"/>
      <c r="AS38" s="182"/>
      <c r="AT38" s="182"/>
      <c r="AU38" s="182"/>
      <c r="AV38" s="182"/>
      <c r="AW38" s="182"/>
      <c r="AX38" s="182"/>
      <c r="AY38" s="182"/>
      <c r="AZ38" s="182"/>
      <c r="BA38" s="182"/>
      <c r="BB38" s="182"/>
      <c r="BC38" s="182"/>
      <c r="BD38" s="182"/>
      <c r="BE38" s="182"/>
      <c r="BF38" s="182"/>
      <c r="BG38" s="182"/>
      <c r="BH38" s="182"/>
      <c r="BI38" s="182"/>
      <c r="BJ38" s="182"/>
      <c r="BK38" s="182"/>
      <c r="BL38" s="182"/>
      <c r="BM38" s="182"/>
      <c r="BN38" s="182"/>
      <c r="BO38" s="182"/>
      <c r="BP38" s="182"/>
      <c r="BQ38" s="182"/>
      <c r="BR38" s="182"/>
      <c r="BS38" s="182"/>
      <c r="BT38" s="182"/>
      <c r="BU38" s="182"/>
      <c r="BV38" s="182"/>
      <c r="BW38" s="182"/>
      <c r="BX38" s="182"/>
      <c r="BY38" s="182"/>
    </row>
    <row r="39" spans="1:77">
      <c r="A39" s="116"/>
      <c r="B39" s="116"/>
      <c r="C39" s="116"/>
      <c r="D39" s="3"/>
      <c r="E39" s="184"/>
      <c r="F39" s="184"/>
      <c r="G39" s="184"/>
      <c r="H39" s="184"/>
      <c r="I39" s="184"/>
      <c r="J39" s="184"/>
      <c r="K39" s="184"/>
      <c r="L39" s="184"/>
      <c r="M39" s="185"/>
      <c r="N39" s="185"/>
      <c r="O39" s="186"/>
      <c r="P39" s="187"/>
      <c r="Q39" s="187"/>
      <c r="R39" s="188"/>
      <c r="S39" s="188"/>
      <c r="T39" s="185"/>
      <c r="U39" s="185"/>
      <c r="V39" s="189"/>
      <c r="W39" s="190"/>
      <c r="X39" s="191"/>
      <c r="Y39" s="186"/>
      <c r="Z39" s="192"/>
      <c r="AA39" s="97"/>
      <c r="AB39" s="193"/>
    </row>
    <row r="40" spans="1:77">
      <c r="A40" s="116"/>
      <c r="B40" s="116"/>
      <c r="C40" s="116"/>
      <c r="D40" s="3"/>
      <c r="E40" s="184"/>
      <c r="F40" s="184"/>
      <c r="G40" s="184"/>
      <c r="H40" s="184"/>
      <c r="I40" s="184"/>
      <c r="J40" s="184"/>
      <c r="K40" s="184"/>
      <c r="L40" s="184"/>
      <c r="M40" s="185"/>
      <c r="N40" s="185"/>
      <c r="O40" s="186"/>
      <c r="P40" s="187"/>
      <c r="Q40" s="187"/>
      <c r="R40" s="188"/>
      <c r="S40" s="188"/>
      <c r="T40" s="185"/>
      <c r="U40" s="185"/>
      <c r="V40" s="189"/>
      <c r="W40" s="190"/>
      <c r="X40" s="191"/>
      <c r="Y40" s="186"/>
      <c r="Z40" s="192"/>
      <c r="AA40" s="97"/>
      <c r="AB40" s="193"/>
    </row>
    <row r="41" spans="1:77">
      <c r="A41" s="116"/>
      <c r="B41" s="116"/>
      <c r="C41" s="116"/>
      <c r="D41" s="3"/>
      <c r="E41" s="184"/>
      <c r="F41" s="184"/>
      <c r="G41" s="184"/>
      <c r="H41" s="184"/>
      <c r="I41" s="184"/>
      <c r="J41" s="184"/>
      <c r="K41" s="184"/>
      <c r="L41" s="184"/>
      <c r="M41" s="185"/>
      <c r="N41" s="185"/>
      <c r="O41" s="186"/>
      <c r="P41" s="187"/>
      <c r="Q41" s="187"/>
      <c r="R41" s="188"/>
      <c r="S41" s="188"/>
      <c r="T41" s="185"/>
      <c r="U41" s="185"/>
      <c r="V41" s="189"/>
      <c r="W41" s="190"/>
      <c r="X41" s="191"/>
      <c r="Y41" s="186"/>
      <c r="Z41" s="192"/>
      <c r="AA41" s="97"/>
      <c r="AB41" s="193"/>
    </row>
    <row r="42" spans="1:77">
      <c r="A42" s="116"/>
      <c r="B42" s="116"/>
      <c r="C42" s="116"/>
      <c r="D42" s="3"/>
      <c r="E42" s="184"/>
      <c r="F42" s="184"/>
      <c r="G42" s="184"/>
      <c r="H42" s="184"/>
      <c r="I42" s="184"/>
      <c r="J42" s="184"/>
      <c r="K42" s="184"/>
      <c r="L42" s="184"/>
      <c r="M42" s="185"/>
      <c r="N42" s="185"/>
      <c r="O42" s="186"/>
      <c r="P42" s="187"/>
      <c r="Q42" s="187"/>
      <c r="R42" s="188"/>
      <c r="S42" s="188"/>
      <c r="T42" s="185"/>
      <c r="U42" s="185"/>
      <c r="V42" s="189"/>
      <c r="W42" s="190"/>
      <c r="X42" s="191"/>
      <c r="Y42" s="186"/>
      <c r="Z42" s="192"/>
      <c r="AA42" s="97"/>
      <c r="AB42" s="193"/>
    </row>
    <row r="43" spans="1:77">
      <c r="A43" s="116"/>
      <c r="B43" s="116"/>
      <c r="C43" s="116"/>
      <c r="D43" s="3"/>
      <c r="E43" s="184"/>
      <c r="F43" s="184"/>
      <c r="G43" s="184"/>
      <c r="H43" s="184"/>
      <c r="I43" s="184"/>
      <c r="J43" s="184"/>
      <c r="K43" s="184"/>
      <c r="L43" s="184"/>
      <c r="M43" s="185"/>
      <c r="N43" s="185"/>
      <c r="O43" s="186"/>
      <c r="P43" s="187"/>
      <c r="Q43" s="187"/>
      <c r="R43" s="188"/>
      <c r="S43" s="188"/>
      <c r="T43" s="185"/>
      <c r="U43" s="185"/>
      <c r="V43" s="189"/>
      <c r="W43" s="190"/>
      <c r="X43" s="191"/>
      <c r="Y43" s="186"/>
      <c r="Z43" s="192"/>
      <c r="AA43" s="97"/>
      <c r="AB43" s="193"/>
    </row>
    <row r="44" spans="1:77">
      <c r="A44" s="116"/>
      <c r="B44" s="116"/>
      <c r="C44" s="116"/>
      <c r="D44" s="3"/>
      <c r="E44" s="184"/>
      <c r="F44" s="184"/>
      <c r="G44" s="184"/>
      <c r="H44" s="184"/>
      <c r="I44" s="184"/>
      <c r="J44" s="184"/>
      <c r="K44" s="184"/>
      <c r="L44" s="184"/>
      <c r="M44" s="185"/>
      <c r="N44" s="185"/>
      <c r="O44" s="186"/>
      <c r="P44" s="187"/>
      <c r="Q44" s="187"/>
      <c r="R44" s="188"/>
      <c r="S44" s="188"/>
      <c r="T44" s="185"/>
      <c r="U44" s="185"/>
      <c r="V44" s="189"/>
      <c r="W44" s="190"/>
      <c r="X44" s="191"/>
      <c r="Y44" s="186"/>
      <c r="Z44" s="192"/>
      <c r="AA44" s="97"/>
      <c r="AB44" s="193"/>
    </row>
    <row r="45" spans="1:77">
      <c r="A45" s="116"/>
      <c r="B45" s="116"/>
      <c r="C45" s="116"/>
      <c r="D45" s="3"/>
      <c r="E45" s="184"/>
      <c r="F45" s="184"/>
      <c r="G45" s="184"/>
      <c r="H45" s="184"/>
      <c r="I45" s="184"/>
      <c r="J45" s="184"/>
      <c r="K45" s="184"/>
      <c r="L45" s="184"/>
      <c r="M45" s="185"/>
      <c r="N45" s="185"/>
      <c r="O45" s="186"/>
      <c r="P45" s="187"/>
      <c r="Q45" s="187"/>
      <c r="R45" s="188"/>
      <c r="S45" s="188"/>
      <c r="T45" s="185"/>
      <c r="U45" s="185"/>
      <c r="V45" s="189"/>
      <c r="W45" s="190"/>
      <c r="X45" s="191"/>
      <c r="Y45" s="186"/>
      <c r="Z45" s="192"/>
      <c r="AA45" s="97"/>
      <c r="AB45" s="193"/>
    </row>
    <row r="46" spans="1:77">
      <c r="A46" s="116"/>
      <c r="B46" s="116"/>
      <c r="C46" s="116"/>
      <c r="D46" s="3"/>
      <c r="E46" s="184"/>
      <c r="F46" s="184"/>
      <c r="G46" s="184"/>
      <c r="H46" s="184"/>
      <c r="I46" s="184"/>
      <c r="J46" s="184"/>
      <c r="K46" s="184"/>
      <c r="L46" s="184"/>
      <c r="M46" s="185"/>
      <c r="N46" s="185"/>
      <c r="O46" s="186"/>
      <c r="P46" s="187"/>
      <c r="Q46" s="187"/>
      <c r="R46" s="188"/>
      <c r="S46" s="188"/>
      <c r="T46" s="185"/>
      <c r="U46" s="185"/>
      <c r="V46" s="189"/>
      <c r="W46" s="190"/>
      <c r="X46" s="191"/>
      <c r="Y46" s="186"/>
      <c r="Z46" s="192"/>
      <c r="AA46" s="97"/>
      <c r="AB46" s="193"/>
    </row>
    <row r="47" spans="1:77">
      <c r="A47" s="116"/>
      <c r="B47" s="116"/>
      <c r="C47" s="116"/>
      <c r="D47" s="3"/>
      <c r="E47" s="184"/>
      <c r="F47" s="184"/>
      <c r="G47" s="184"/>
      <c r="H47" s="184"/>
      <c r="I47" s="184"/>
      <c r="J47" s="184"/>
      <c r="K47" s="184"/>
      <c r="L47" s="184"/>
      <c r="M47" s="185"/>
      <c r="N47" s="185"/>
      <c r="O47" s="186"/>
      <c r="P47" s="187"/>
      <c r="Q47" s="187"/>
      <c r="R47" s="188"/>
      <c r="S47" s="188"/>
      <c r="T47" s="185"/>
      <c r="U47" s="185"/>
      <c r="V47" s="189"/>
      <c r="W47" s="190"/>
      <c r="X47" s="191"/>
      <c r="Y47" s="186"/>
      <c r="Z47" s="192"/>
      <c r="AA47" s="97"/>
      <c r="AB47" s="193"/>
    </row>
    <row r="48" spans="1:77">
      <c r="A48" s="116"/>
      <c r="B48" s="116"/>
      <c r="C48" s="116"/>
      <c r="D48" s="3"/>
      <c r="E48" s="184"/>
      <c r="F48" s="184"/>
      <c r="G48" s="184"/>
      <c r="H48" s="184"/>
      <c r="I48" s="184"/>
      <c r="J48" s="184"/>
      <c r="K48" s="184"/>
      <c r="L48" s="184"/>
      <c r="M48" s="185"/>
      <c r="N48" s="185"/>
      <c r="O48" s="186"/>
      <c r="P48" s="187"/>
      <c r="Q48" s="187"/>
      <c r="R48" s="188"/>
      <c r="S48" s="188"/>
      <c r="T48" s="185"/>
      <c r="U48" s="185"/>
      <c r="V48" s="189"/>
      <c r="W48" s="190"/>
      <c r="X48" s="191"/>
      <c r="Y48" s="186"/>
      <c r="Z48" s="192"/>
      <c r="AA48" s="97"/>
      <c r="AB48" s="193"/>
    </row>
    <row r="49" spans="1:28">
      <c r="A49" s="116"/>
      <c r="B49" s="116"/>
      <c r="C49" s="116"/>
      <c r="D49" s="3"/>
      <c r="E49" s="184"/>
      <c r="F49" s="184"/>
      <c r="G49" s="184"/>
      <c r="H49" s="184"/>
      <c r="I49" s="184"/>
      <c r="J49" s="184"/>
      <c r="K49" s="184"/>
      <c r="L49" s="184"/>
      <c r="M49" s="185"/>
      <c r="N49" s="185"/>
      <c r="O49" s="186"/>
      <c r="P49" s="187"/>
      <c r="Q49" s="187"/>
      <c r="R49" s="188"/>
      <c r="S49" s="188"/>
      <c r="T49" s="185"/>
      <c r="U49" s="185"/>
      <c r="V49" s="189"/>
      <c r="W49" s="190"/>
      <c r="X49" s="191"/>
      <c r="Y49" s="186"/>
      <c r="Z49" s="192"/>
      <c r="AA49" s="97"/>
      <c r="AB49" s="193"/>
    </row>
    <row r="50" spans="1:28">
      <c r="A50" s="116"/>
      <c r="B50" s="116"/>
      <c r="C50" s="116"/>
      <c r="D50" s="3"/>
      <c r="E50" s="184"/>
      <c r="F50" s="184"/>
      <c r="G50" s="184"/>
      <c r="H50" s="184"/>
      <c r="I50" s="184"/>
      <c r="J50" s="184"/>
      <c r="K50" s="184"/>
      <c r="L50" s="184"/>
      <c r="M50" s="185"/>
      <c r="N50" s="185"/>
      <c r="O50" s="186"/>
      <c r="P50" s="187"/>
      <c r="Q50" s="187"/>
      <c r="R50" s="188"/>
      <c r="S50" s="188"/>
      <c r="T50" s="185"/>
      <c r="U50" s="185"/>
      <c r="V50" s="189"/>
      <c r="W50" s="190"/>
      <c r="X50" s="191"/>
      <c r="Y50" s="186"/>
      <c r="Z50" s="192"/>
      <c r="AA50" s="97"/>
      <c r="AB50" s="193"/>
    </row>
    <row r="51" spans="1:28">
      <c r="A51" s="116"/>
      <c r="B51" s="116"/>
      <c r="C51" s="116"/>
      <c r="D51" s="3"/>
      <c r="E51" s="184"/>
      <c r="F51" s="184"/>
      <c r="G51" s="184"/>
      <c r="H51" s="184"/>
      <c r="I51" s="184"/>
      <c r="J51" s="184"/>
      <c r="K51" s="184"/>
      <c r="L51" s="184"/>
      <c r="M51" s="185"/>
      <c r="N51" s="185"/>
      <c r="O51" s="186"/>
      <c r="P51" s="187"/>
      <c r="Q51" s="187"/>
      <c r="R51" s="188"/>
      <c r="S51" s="188"/>
      <c r="T51" s="185"/>
      <c r="U51" s="185"/>
      <c r="V51" s="189"/>
      <c r="W51" s="190"/>
      <c r="X51" s="191"/>
      <c r="Y51" s="186"/>
      <c r="Z51" s="192"/>
      <c r="AA51" s="97"/>
      <c r="AB51" s="193"/>
    </row>
    <row r="52" spans="1:28">
      <c r="A52" s="116"/>
      <c r="B52" s="116"/>
      <c r="C52" s="116"/>
      <c r="D52" s="3"/>
      <c r="E52" s="184"/>
      <c r="F52" s="184"/>
      <c r="G52" s="184"/>
      <c r="H52" s="184"/>
      <c r="I52" s="184"/>
      <c r="J52" s="184"/>
      <c r="K52" s="184"/>
      <c r="L52" s="184"/>
      <c r="M52" s="185"/>
      <c r="N52" s="185"/>
      <c r="O52" s="186"/>
      <c r="P52" s="187"/>
      <c r="Q52" s="187"/>
      <c r="R52" s="188"/>
      <c r="S52" s="188"/>
      <c r="T52" s="185"/>
      <c r="U52" s="185"/>
      <c r="V52" s="189"/>
      <c r="W52" s="190"/>
      <c r="X52" s="191"/>
      <c r="Y52" s="186"/>
      <c r="Z52" s="192"/>
      <c r="AA52" s="97"/>
      <c r="AB52" s="193"/>
    </row>
    <row r="53" spans="1:28">
      <c r="A53" s="116"/>
      <c r="B53" s="116"/>
      <c r="C53" s="116"/>
      <c r="D53" s="3"/>
      <c r="E53" s="184"/>
      <c r="F53" s="184"/>
      <c r="G53" s="184"/>
      <c r="H53" s="184"/>
      <c r="I53" s="184"/>
      <c r="J53" s="184"/>
      <c r="K53" s="184"/>
      <c r="L53" s="184"/>
      <c r="M53" s="185"/>
      <c r="N53" s="185"/>
      <c r="O53" s="186"/>
      <c r="P53" s="187"/>
      <c r="Q53" s="187"/>
      <c r="R53" s="188"/>
      <c r="S53" s="188"/>
      <c r="T53" s="185"/>
      <c r="U53" s="185"/>
      <c r="V53" s="189"/>
      <c r="W53" s="190"/>
      <c r="X53" s="191"/>
      <c r="Y53" s="186"/>
      <c r="Z53" s="192"/>
      <c r="AA53" s="97"/>
      <c r="AB53" s="193"/>
    </row>
    <row r="54" spans="1:28">
      <c r="A54" s="116"/>
      <c r="B54" s="116"/>
      <c r="C54" s="116"/>
      <c r="D54" s="3"/>
      <c r="E54" s="184"/>
      <c r="F54" s="184"/>
      <c r="G54" s="184"/>
      <c r="H54" s="184"/>
      <c r="I54" s="184"/>
      <c r="J54" s="184"/>
      <c r="K54" s="184"/>
      <c r="L54" s="184"/>
      <c r="M54" s="185"/>
      <c r="N54" s="185"/>
      <c r="O54" s="186"/>
      <c r="P54" s="187"/>
      <c r="Q54" s="187"/>
      <c r="R54" s="188"/>
      <c r="S54" s="188"/>
      <c r="T54" s="185"/>
      <c r="U54" s="185"/>
      <c r="V54" s="189"/>
      <c r="W54" s="190"/>
      <c r="X54" s="191"/>
      <c r="Y54" s="186"/>
      <c r="Z54" s="192"/>
      <c r="AA54" s="97"/>
      <c r="AB54" s="193"/>
    </row>
    <row r="55" spans="1:28">
      <c r="A55" s="116"/>
      <c r="B55" s="116"/>
      <c r="C55" s="116"/>
      <c r="D55" s="3"/>
      <c r="E55" s="184"/>
      <c r="F55" s="184"/>
      <c r="G55" s="184"/>
      <c r="H55" s="184"/>
      <c r="I55" s="184"/>
      <c r="J55" s="184"/>
      <c r="K55" s="184"/>
      <c r="L55" s="184"/>
      <c r="M55" s="185"/>
      <c r="N55" s="185"/>
      <c r="O55" s="186"/>
      <c r="P55" s="187"/>
      <c r="Q55" s="187"/>
      <c r="R55" s="188"/>
      <c r="S55" s="188"/>
      <c r="T55" s="185"/>
      <c r="U55" s="185"/>
      <c r="V55" s="189"/>
      <c r="W55" s="190"/>
      <c r="X55" s="191"/>
      <c r="Y55" s="186"/>
      <c r="Z55" s="192"/>
      <c r="AA55" s="97"/>
      <c r="AB55" s="193"/>
    </row>
    <row r="56" spans="1:28">
      <c r="A56" s="116"/>
      <c r="B56" s="116"/>
      <c r="C56" s="116"/>
      <c r="D56" s="3"/>
      <c r="E56" s="184"/>
      <c r="F56" s="184"/>
      <c r="G56" s="184"/>
      <c r="H56" s="184"/>
      <c r="I56" s="184"/>
      <c r="J56" s="184"/>
      <c r="K56" s="184"/>
      <c r="L56" s="184"/>
      <c r="M56" s="185"/>
      <c r="N56" s="185"/>
      <c r="O56" s="186"/>
      <c r="P56" s="187"/>
      <c r="Q56" s="187"/>
      <c r="R56" s="188"/>
      <c r="S56" s="188"/>
      <c r="T56" s="185"/>
      <c r="U56" s="185"/>
      <c r="V56" s="189"/>
      <c r="W56" s="190"/>
      <c r="X56" s="191"/>
      <c r="Y56" s="186"/>
      <c r="Z56" s="192"/>
      <c r="AA56" s="97"/>
      <c r="AB56" s="193"/>
    </row>
    <row r="57" spans="1:28">
      <c r="A57" s="116"/>
      <c r="B57" s="116"/>
      <c r="C57" s="116"/>
      <c r="D57" s="3"/>
      <c r="E57" s="184"/>
      <c r="F57" s="184"/>
      <c r="G57" s="184"/>
      <c r="H57" s="184"/>
      <c r="I57" s="184"/>
      <c r="J57" s="184"/>
      <c r="K57" s="184"/>
      <c r="L57" s="184"/>
      <c r="M57" s="185"/>
      <c r="N57" s="185"/>
      <c r="O57" s="186"/>
      <c r="P57" s="187"/>
      <c r="Q57" s="187"/>
      <c r="R57" s="188"/>
      <c r="S57" s="188"/>
      <c r="T57" s="185"/>
      <c r="U57" s="185"/>
      <c r="V57" s="189"/>
      <c r="W57" s="190"/>
      <c r="X57" s="191"/>
      <c r="Y57" s="186"/>
      <c r="Z57" s="192"/>
      <c r="AA57" s="97"/>
      <c r="AB57" s="193"/>
    </row>
    <row r="58" spans="1:28">
      <c r="A58" s="116"/>
      <c r="B58" s="116"/>
      <c r="C58" s="116"/>
      <c r="D58" s="3"/>
      <c r="E58" s="184"/>
      <c r="F58" s="184"/>
      <c r="G58" s="184"/>
      <c r="H58" s="184"/>
      <c r="I58" s="184"/>
      <c r="J58" s="184"/>
      <c r="K58" s="184"/>
      <c r="L58" s="184"/>
      <c r="M58" s="185"/>
      <c r="N58" s="185"/>
      <c r="O58" s="186"/>
      <c r="P58" s="187"/>
      <c r="Q58" s="187"/>
      <c r="R58" s="188"/>
      <c r="S58" s="188"/>
      <c r="T58" s="185"/>
      <c r="U58" s="185"/>
      <c r="V58" s="189"/>
      <c r="W58" s="190"/>
      <c r="X58" s="191"/>
      <c r="Y58" s="186"/>
      <c r="Z58" s="192"/>
      <c r="AA58" s="97"/>
      <c r="AB58" s="193"/>
    </row>
    <row r="59" spans="1:28">
      <c r="A59" s="116"/>
      <c r="B59" s="116"/>
      <c r="C59" s="116"/>
      <c r="D59" s="3"/>
      <c r="E59" s="184"/>
      <c r="F59" s="184"/>
      <c r="G59" s="184"/>
      <c r="H59" s="184"/>
      <c r="I59" s="184"/>
      <c r="J59" s="184"/>
      <c r="K59" s="184"/>
      <c r="L59" s="184"/>
      <c r="M59" s="185"/>
      <c r="N59" s="185"/>
      <c r="O59" s="186"/>
      <c r="P59" s="187"/>
      <c r="Q59" s="187"/>
      <c r="R59" s="188"/>
      <c r="S59" s="188"/>
      <c r="T59" s="185"/>
      <c r="U59" s="185"/>
      <c r="V59" s="189"/>
      <c r="W59" s="190"/>
      <c r="X59" s="191"/>
      <c r="Y59" s="186"/>
      <c r="Z59" s="192"/>
      <c r="AA59" s="97"/>
      <c r="AB59" s="193"/>
    </row>
    <row r="60" spans="1:28">
      <c r="A60" s="116"/>
      <c r="B60" s="116"/>
      <c r="C60" s="116"/>
      <c r="D60" s="3"/>
      <c r="E60" s="184"/>
      <c r="F60" s="184"/>
      <c r="G60" s="184"/>
      <c r="H60" s="184"/>
      <c r="I60" s="184"/>
      <c r="J60" s="184"/>
      <c r="K60" s="184"/>
      <c r="L60" s="184"/>
      <c r="M60" s="185"/>
      <c r="N60" s="185"/>
      <c r="O60" s="186"/>
      <c r="P60" s="187"/>
      <c r="Q60" s="187"/>
      <c r="R60" s="188"/>
      <c r="S60" s="188"/>
      <c r="T60" s="185"/>
      <c r="U60" s="185"/>
      <c r="V60" s="189"/>
      <c r="W60" s="190"/>
      <c r="X60" s="191"/>
      <c r="Y60" s="186"/>
      <c r="Z60" s="192"/>
      <c r="AA60" s="97"/>
      <c r="AB60" s="193"/>
    </row>
    <row r="61" spans="1:28">
      <c r="A61" s="116"/>
      <c r="B61" s="116"/>
      <c r="C61" s="116"/>
      <c r="D61" s="3"/>
      <c r="E61" s="184"/>
      <c r="F61" s="184"/>
      <c r="G61" s="184"/>
      <c r="H61" s="184"/>
      <c r="I61" s="184"/>
      <c r="J61" s="184"/>
      <c r="K61" s="184"/>
      <c r="L61" s="184"/>
      <c r="M61" s="185"/>
      <c r="N61" s="185"/>
      <c r="O61" s="186"/>
      <c r="P61" s="187"/>
      <c r="Q61" s="187"/>
      <c r="R61" s="188"/>
      <c r="S61" s="188"/>
      <c r="T61" s="185"/>
      <c r="U61" s="185"/>
      <c r="V61" s="189"/>
      <c r="W61" s="190"/>
      <c r="X61" s="191"/>
      <c r="Y61" s="186"/>
      <c r="Z61" s="192"/>
      <c r="AA61" s="97"/>
      <c r="AB61" s="193"/>
    </row>
    <row r="62" spans="1:28">
      <c r="A62" s="116"/>
      <c r="B62" s="116"/>
      <c r="C62" s="116"/>
      <c r="D62" s="3"/>
      <c r="E62" s="184"/>
      <c r="F62" s="184"/>
      <c r="G62" s="184"/>
      <c r="H62" s="184"/>
      <c r="I62" s="184"/>
      <c r="J62" s="184"/>
      <c r="K62" s="184"/>
      <c r="L62" s="184"/>
      <c r="M62" s="185"/>
      <c r="N62" s="185"/>
      <c r="O62" s="186"/>
      <c r="P62" s="187"/>
      <c r="Q62" s="187"/>
      <c r="R62" s="188"/>
      <c r="S62" s="188"/>
      <c r="T62" s="185"/>
      <c r="U62" s="185"/>
      <c r="V62" s="189"/>
      <c r="W62" s="190"/>
      <c r="X62" s="191"/>
      <c r="Y62" s="186"/>
      <c r="Z62" s="192"/>
      <c r="AA62" s="97"/>
      <c r="AB62" s="193"/>
    </row>
    <row r="63" spans="1:28">
      <c r="A63" s="116"/>
      <c r="B63" s="116"/>
      <c r="C63" s="116"/>
      <c r="D63" s="3"/>
      <c r="E63" s="184"/>
      <c r="F63" s="184"/>
      <c r="G63" s="184"/>
      <c r="H63" s="184"/>
      <c r="I63" s="184"/>
      <c r="J63" s="184"/>
      <c r="K63" s="184"/>
      <c r="L63" s="184"/>
      <c r="M63" s="185"/>
      <c r="N63" s="185"/>
      <c r="O63" s="186"/>
      <c r="P63" s="187"/>
      <c r="Q63" s="187"/>
      <c r="R63" s="188"/>
      <c r="S63" s="188"/>
      <c r="T63" s="185"/>
      <c r="U63" s="185"/>
      <c r="V63" s="189"/>
      <c r="W63" s="190"/>
      <c r="X63" s="191"/>
      <c r="Y63" s="186"/>
      <c r="Z63" s="192"/>
      <c r="AA63" s="97"/>
      <c r="AB63" s="193"/>
    </row>
    <row r="64" spans="1:28">
      <c r="A64" s="116"/>
      <c r="B64" s="116"/>
      <c r="C64" s="116"/>
      <c r="D64" s="3"/>
      <c r="E64" s="184"/>
      <c r="F64" s="184"/>
      <c r="G64" s="184"/>
      <c r="H64" s="184"/>
      <c r="I64" s="184"/>
      <c r="J64" s="184"/>
      <c r="K64" s="184"/>
      <c r="L64" s="184"/>
      <c r="M64" s="185"/>
      <c r="N64" s="185"/>
      <c r="O64" s="186"/>
      <c r="P64" s="187"/>
      <c r="Q64" s="187"/>
      <c r="R64" s="188"/>
      <c r="S64" s="188"/>
      <c r="T64" s="185"/>
      <c r="U64" s="185"/>
      <c r="V64" s="189"/>
      <c r="W64" s="190"/>
      <c r="X64" s="191"/>
      <c r="Y64" s="186"/>
      <c r="Z64" s="192"/>
      <c r="AA64" s="97"/>
      <c r="AB64" s="193"/>
    </row>
    <row r="65" spans="1:28">
      <c r="A65" s="116"/>
      <c r="B65" s="116"/>
      <c r="C65" s="116"/>
      <c r="D65" s="3"/>
      <c r="E65" s="184"/>
      <c r="F65" s="184"/>
      <c r="G65" s="184"/>
      <c r="H65" s="184"/>
      <c r="I65" s="184"/>
      <c r="J65" s="184"/>
      <c r="K65" s="184"/>
      <c r="L65" s="184"/>
      <c r="M65" s="185"/>
      <c r="N65" s="185"/>
      <c r="O65" s="186"/>
      <c r="P65" s="187"/>
      <c r="Q65" s="187"/>
      <c r="R65" s="188"/>
      <c r="S65" s="188"/>
      <c r="T65" s="185"/>
      <c r="U65" s="185"/>
      <c r="V65" s="189"/>
      <c r="W65" s="190"/>
      <c r="X65" s="191"/>
      <c r="Y65" s="186"/>
      <c r="Z65" s="192"/>
      <c r="AA65" s="97"/>
      <c r="AB65" s="193"/>
    </row>
    <row r="66" spans="1:28">
      <c r="A66" s="116"/>
      <c r="B66" s="116"/>
      <c r="C66" s="116"/>
      <c r="D66" s="3"/>
      <c r="E66" s="184"/>
      <c r="F66" s="184"/>
      <c r="G66" s="184"/>
      <c r="H66" s="184"/>
      <c r="I66" s="184"/>
      <c r="J66" s="184"/>
      <c r="K66" s="184"/>
      <c r="L66" s="184"/>
      <c r="M66" s="185"/>
      <c r="N66" s="185"/>
      <c r="O66" s="186"/>
      <c r="P66" s="187"/>
      <c r="Q66" s="187"/>
      <c r="R66" s="188"/>
      <c r="S66" s="188"/>
      <c r="T66" s="185"/>
      <c r="U66" s="185"/>
      <c r="V66" s="189"/>
      <c r="W66" s="190"/>
      <c r="X66" s="191"/>
      <c r="Y66" s="186"/>
      <c r="Z66" s="192"/>
      <c r="AA66" s="97"/>
      <c r="AB66" s="193"/>
    </row>
    <row r="67" spans="1:28">
      <c r="A67" s="116"/>
      <c r="B67" s="116"/>
      <c r="C67" s="116"/>
      <c r="D67" s="3"/>
      <c r="E67" s="184"/>
      <c r="F67" s="184"/>
      <c r="G67" s="184"/>
      <c r="H67" s="184"/>
      <c r="I67" s="184"/>
      <c r="J67" s="184"/>
      <c r="K67" s="184"/>
      <c r="L67" s="184"/>
      <c r="M67" s="185"/>
      <c r="N67" s="185"/>
      <c r="O67" s="186"/>
      <c r="P67" s="187"/>
      <c r="Q67" s="187"/>
      <c r="R67" s="188"/>
      <c r="S67" s="188"/>
      <c r="T67" s="185"/>
      <c r="U67" s="185"/>
      <c r="V67" s="189"/>
      <c r="W67" s="190"/>
      <c r="X67" s="191"/>
      <c r="Y67" s="186"/>
      <c r="Z67" s="192"/>
      <c r="AA67" s="97"/>
      <c r="AB67" s="193"/>
    </row>
    <row r="68" spans="1:28">
      <c r="A68" s="116"/>
      <c r="B68" s="116"/>
      <c r="C68" s="116"/>
      <c r="D68" s="3"/>
      <c r="E68" s="184"/>
      <c r="F68" s="184"/>
      <c r="G68" s="184"/>
      <c r="H68" s="184"/>
      <c r="I68" s="184"/>
      <c r="J68" s="184"/>
      <c r="K68" s="184"/>
      <c r="L68" s="184"/>
      <c r="M68" s="185"/>
      <c r="N68" s="185"/>
      <c r="O68" s="186"/>
      <c r="P68" s="187"/>
      <c r="Q68" s="187"/>
      <c r="R68" s="188"/>
      <c r="S68" s="188"/>
      <c r="T68" s="185"/>
      <c r="U68" s="185"/>
      <c r="V68" s="189"/>
      <c r="W68" s="190"/>
      <c r="X68" s="191"/>
      <c r="Y68" s="186"/>
      <c r="Z68" s="192"/>
      <c r="AA68" s="97"/>
      <c r="AB68" s="193"/>
    </row>
    <row r="69" spans="1:28">
      <c r="A69" s="116"/>
      <c r="B69" s="116"/>
      <c r="C69" s="116"/>
      <c r="D69" s="3"/>
      <c r="E69" s="184"/>
      <c r="F69" s="184"/>
      <c r="G69" s="184"/>
      <c r="H69" s="184"/>
      <c r="I69" s="184"/>
      <c r="J69" s="184"/>
      <c r="K69" s="184"/>
      <c r="L69" s="184"/>
      <c r="M69" s="185"/>
      <c r="N69" s="185"/>
      <c r="O69" s="186"/>
      <c r="P69" s="187"/>
      <c r="Q69" s="187"/>
      <c r="R69" s="188"/>
      <c r="S69" s="188"/>
      <c r="T69" s="185"/>
      <c r="U69" s="185"/>
      <c r="V69" s="189"/>
      <c r="W69" s="190"/>
      <c r="X69" s="191"/>
      <c r="Y69" s="186"/>
      <c r="Z69" s="192"/>
      <c r="AA69" s="97"/>
      <c r="AB69" s="193"/>
    </row>
    <row r="70" spans="1:28">
      <c r="A70" s="116"/>
      <c r="B70" s="116"/>
      <c r="C70" s="116"/>
      <c r="D70" s="207"/>
      <c r="E70" s="184"/>
      <c r="F70" s="184"/>
      <c r="G70" s="184"/>
      <c r="H70" s="184"/>
      <c r="I70" s="184"/>
      <c r="J70" s="184"/>
      <c r="K70" s="184"/>
      <c r="L70" s="184"/>
      <c r="M70" s="185"/>
      <c r="N70" s="185"/>
      <c r="O70" s="186"/>
      <c r="P70" s="187"/>
      <c r="Q70" s="187"/>
      <c r="R70" s="188"/>
      <c r="S70" s="188"/>
      <c r="T70" s="185"/>
      <c r="U70" s="185"/>
      <c r="V70" s="189"/>
      <c r="W70" s="190"/>
      <c r="X70" s="191"/>
      <c r="Y70" s="186"/>
      <c r="Z70" s="192"/>
      <c r="AA70" s="97"/>
      <c r="AB70" s="193"/>
    </row>
    <row r="71" spans="1:28">
      <c r="A71" s="116"/>
      <c r="B71" s="116"/>
      <c r="C71" s="116"/>
      <c r="D71" s="3"/>
      <c r="E71" s="184"/>
      <c r="F71" s="184"/>
      <c r="G71" s="184"/>
      <c r="H71" s="184"/>
      <c r="I71" s="184"/>
      <c r="J71" s="184"/>
      <c r="K71" s="184"/>
      <c r="L71" s="184"/>
      <c r="M71" s="185"/>
      <c r="N71" s="185"/>
      <c r="O71" s="186"/>
      <c r="P71" s="187"/>
      <c r="Q71" s="187"/>
      <c r="R71" s="188"/>
      <c r="S71" s="188"/>
      <c r="T71" s="185"/>
      <c r="U71" s="185"/>
      <c r="V71" s="189"/>
      <c r="W71" s="190"/>
      <c r="X71" s="191"/>
      <c r="Y71" s="186"/>
      <c r="Z71" s="192"/>
      <c r="AA71" s="97"/>
      <c r="AB71" s="193"/>
    </row>
    <row r="72" spans="1:28">
      <c r="A72" s="116"/>
      <c r="B72" s="116"/>
      <c r="C72" s="116"/>
      <c r="D72" s="3"/>
      <c r="E72" s="184"/>
      <c r="F72" s="184"/>
      <c r="G72" s="184"/>
      <c r="H72" s="184"/>
      <c r="I72" s="184"/>
      <c r="J72" s="184"/>
      <c r="K72" s="184"/>
      <c r="L72" s="184"/>
      <c r="M72" s="185"/>
      <c r="N72" s="185"/>
      <c r="O72" s="186"/>
      <c r="P72" s="187"/>
      <c r="Q72" s="187"/>
      <c r="R72" s="188"/>
      <c r="S72" s="188"/>
      <c r="T72" s="185"/>
      <c r="U72" s="185"/>
      <c r="V72" s="189"/>
      <c r="W72" s="190"/>
      <c r="X72" s="191"/>
      <c r="Y72" s="186"/>
      <c r="Z72" s="192"/>
      <c r="AA72" s="97"/>
      <c r="AB72" s="193"/>
    </row>
    <row r="73" spans="1:28">
      <c r="A73" s="116"/>
      <c r="B73" s="116"/>
      <c r="C73" s="116"/>
      <c r="D73" s="3"/>
      <c r="E73" s="184"/>
      <c r="F73" s="184"/>
      <c r="G73" s="184"/>
      <c r="H73" s="184"/>
      <c r="I73" s="184"/>
      <c r="J73" s="184"/>
      <c r="K73" s="184"/>
      <c r="L73" s="184"/>
      <c r="M73" s="185"/>
      <c r="N73" s="185"/>
      <c r="O73" s="186"/>
      <c r="P73" s="187"/>
      <c r="Q73" s="187"/>
      <c r="R73" s="188"/>
      <c r="S73" s="188"/>
      <c r="T73" s="185"/>
      <c r="U73" s="185"/>
      <c r="V73" s="189"/>
      <c r="W73" s="190"/>
      <c r="X73" s="191"/>
      <c r="Y73" s="186"/>
      <c r="Z73" s="192"/>
      <c r="AA73" s="97"/>
      <c r="AB73" s="193"/>
    </row>
    <row r="74" spans="1:28">
      <c r="A74" s="116"/>
      <c r="B74" s="116"/>
      <c r="C74" s="116"/>
      <c r="D74" s="3"/>
      <c r="E74" s="184"/>
      <c r="F74" s="184"/>
      <c r="G74" s="184"/>
      <c r="H74" s="184"/>
      <c r="I74" s="184"/>
      <c r="J74" s="184"/>
      <c r="K74" s="184"/>
      <c r="L74" s="184"/>
      <c r="M74" s="185"/>
      <c r="N74" s="185"/>
      <c r="O74" s="186"/>
      <c r="P74" s="187"/>
      <c r="Q74" s="187"/>
      <c r="R74" s="188"/>
      <c r="S74" s="188"/>
      <c r="T74" s="185"/>
      <c r="U74" s="185"/>
      <c r="V74" s="189"/>
      <c r="W74" s="190"/>
      <c r="X74" s="191"/>
      <c r="Y74" s="186"/>
      <c r="Z74" s="192"/>
      <c r="AA74" s="97"/>
      <c r="AB74" s="193"/>
    </row>
    <row r="75" spans="1:28">
      <c r="A75" s="116"/>
      <c r="B75" s="116"/>
      <c r="C75" s="116"/>
      <c r="D75" s="3"/>
      <c r="E75" s="184"/>
      <c r="F75" s="184"/>
      <c r="G75" s="184"/>
      <c r="H75" s="184"/>
      <c r="I75" s="184"/>
      <c r="J75" s="184"/>
      <c r="K75" s="184"/>
      <c r="L75" s="184"/>
      <c r="M75" s="185"/>
      <c r="N75" s="185"/>
      <c r="O75" s="186"/>
      <c r="P75" s="187"/>
      <c r="Q75" s="187"/>
      <c r="R75" s="188"/>
      <c r="S75" s="188"/>
      <c r="T75" s="185"/>
      <c r="U75" s="185"/>
      <c r="V75" s="189"/>
      <c r="W75" s="190"/>
      <c r="X75" s="191"/>
      <c r="Y75" s="186"/>
      <c r="Z75" s="192"/>
      <c r="AA75" s="97"/>
      <c r="AB75" s="193"/>
    </row>
    <row r="76" spans="1:28">
      <c r="A76" s="116"/>
      <c r="B76" s="116"/>
      <c r="C76" s="116"/>
      <c r="D76" s="3"/>
      <c r="E76" s="184"/>
      <c r="F76" s="184"/>
      <c r="G76" s="184"/>
      <c r="H76" s="184"/>
      <c r="I76" s="184"/>
      <c r="J76" s="184"/>
      <c r="K76" s="184"/>
      <c r="L76" s="184"/>
      <c r="M76" s="185"/>
      <c r="N76" s="185"/>
      <c r="O76" s="186"/>
      <c r="P76" s="187"/>
      <c r="Q76" s="187"/>
      <c r="R76" s="188"/>
      <c r="S76" s="188"/>
      <c r="T76" s="185"/>
      <c r="U76" s="185"/>
      <c r="V76" s="189"/>
      <c r="W76" s="190"/>
      <c r="X76" s="191"/>
      <c r="Y76" s="186"/>
      <c r="Z76" s="192"/>
      <c r="AA76" s="97"/>
      <c r="AB76" s="193"/>
    </row>
    <row r="77" spans="1:28">
      <c r="A77" s="116"/>
      <c r="B77" s="116"/>
      <c r="C77" s="116"/>
      <c r="D77" s="3"/>
      <c r="E77" s="184"/>
      <c r="F77" s="184"/>
      <c r="G77" s="184"/>
      <c r="H77" s="184"/>
      <c r="I77" s="184"/>
      <c r="J77" s="184"/>
      <c r="K77" s="184"/>
      <c r="L77" s="184"/>
      <c r="M77" s="185"/>
      <c r="N77" s="185"/>
      <c r="O77" s="186"/>
      <c r="P77" s="187"/>
      <c r="Q77" s="187"/>
      <c r="R77" s="188"/>
      <c r="S77" s="188"/>
      <c r="T77" s="185"/>
      <c r="U77" s="185"/>
      <c r="V77" s="189"/>
      <c r="W77" s="190"/>
      <c r="X77" s="191"/>
      <c r="Y77" s="186"/>
      <c r="Z77" s="192"/>
      <c r="AA77" s="97"/>
      <c r="AB77" s="193"/>
    </row>
    <row r="78" spans="1:28">
      <c r="A78" s="116"/>
      <c r="B78" s="116"/>
      <c r="C78" s="116"/>
      <c r="D78" s="3"/>
      <c r="E78" s="184"/>
      <c r="F78" s="184"/>
      <c r="G78" s="184"/>
      <c r="H78" s="184"/>
      <c r="I78" s="184"/>
      <c r="J78" s="184"/>
      <c r="K78" s="184"/>
      <c r="L78" s="184"/>
      <c r="M78" s="185"/>
      <c r="N78" s="185"/>
      <c r="O78" s="186"/>
      <c r="P78" s="187"/>
      <c r="Q78" s="187"/>
      <c r="R78" s="188"/>
      <c r="S78" s="188"/>
      <c r="T78" s="185"/>
      <c r="U78" s="185"/>
      <c r="V78" s="189"/>
      <c r="W78" s="190"/>
      <c r="X78" s="191"/>
      <c r="Y78" s="186"/>
      <c r="Z78" s="192"/>
      <c r="AA78" s="97"/>
      <c r="AB78" s="193"/>
    </row>
    <row r="79" spans="1:28">
      <c r="A79" s="116"/>
      <c r="B79" s="116"/>
      <c r="C79" s="116"/>
      <c r="D79" s="3"/>
      <c r="E79" s="184"/>
      <c r="F79" s="184"/>
      <c r="G79" s="184"/>
      <c r="H79" s="184"/>
      <c r="I79" s="184"/>
      <c r="J79" s="184"/>
      <c r="K79" s="184"/>
      <c r="L79" s="184"/>
      <c r="M79" s="185"/>
      <c r="N79" s="185"/>
      <c r="O79" s="186"/>
      <c r="P79" s="187"/>
      <c r="Q79" s="187"/>
      <c r="R79" s="188"/>
      <c r="S79" s="188"/>
      <c r="T79" s="185"/>
      <c r="U79" s="185"/>
      <c r="V79" s="189"/>
      <c r="W79" s="190"/>
      <c r="X79" s="191"/>
      <c r="Y79" s="186"/>
      <c r="Z79" s="192"/>
      <c r="AA79" s="97"/>
      <c r="AB79" s="193"/>
    </row>
    <row r="80" spans="1:28">
      <c r="A80" s="116"/>
      <c r="B80" s="116"/>
      <c r="C80" s="116"/>
      <c r="D80" s="3"/>
      <c r="E80" s="184"/>
      <c r="F80" s="184"/>
      <c r="G80" s="184"/>
      <c r="H80" s="184"/>
      <c r="I80" s="184"/>
      <c r="J80" s="184"/>
      <c r="K80" s="184"/>
      <c r="L80" s="184"/>
      <c r="M80" s="185"/>
      <c r="N80" s="185"/>
      <c r="O80" s="186"/>
      <c r="P80" s="187"/>
      <c r="Q80" s="187"/>
      <c r="R80" s="188"/>
      <c r="S80" s="188"/>
      <c r="T80" s="185"/>
      <c r="U80" s="185"/>
      <c r="V80" s="189"/>
      <c r="W80" s="190"/>
      <c r="X80" s="191"/>
      <c r="Y80" s="186"/>
      <c r="Z80" s="192"/>
      <c r="AA80" s="97"/>
      <c r="AB80" s="193"/>
    </row>
    <row r="81" spans="1:28">
      <c r="A81" s="116"/>
      <c r="B81" s="116"/>
      <c r="C81" s="116"/>
      <c r="D81" s="3"/>
      <c r="E81" s="184"/>
      <c r="F81" s="184"/>
      <c r="G81" s="184"/>
      <c r="H81" s="184"/>
      <c r="I81" s="184"/>
      <c r="J81" s="184"/>
      <c r="K81" s="184"/>
      <c r="L81" s="184"/>
      <c r="M81" s="185"/>
      <c r="N81" s="185"/>
      <c r="O81" s="186"/>
      <c r="P81" s="187"/>
      <c r="Q81" s="187"/>
      <c r="R81" s="188"/>
      <c r="S81" s="188"/>
      <c r="T81" s="185"/>
      <c r="U81" s="185"/>
      <c r="V81" s="189"/>
      <c r="W81" s="190"/>
      <c r="X81" s="191"/>
      <c r="Y81" s="186"/>
      <c r="Z81" s="192"/>
      <c r="AA81" s="97"/>
      <c r="AB81" s="193"/>
    </row>
    <row r="82" spans="1:28">
      <c r="A82" s="116"/>
      <c r="B82" s="116"/>
      <c r="C82" s="116"/>
      <c r="D82" s="3"/>
      <c r="E82" s="184"/>
      <c r="F82" s="184"/>
      <c r="G82" s="184"/>
      <c r="H82" s="184"/>
      <c r="I82" s="184"/>
      <c r="J82" s="184"/>
      <c r="K82" s="184"/>
      <c r="L82" s="184"/>
      <c r="M82" s="185"/>
      <c r="N82" s="185"/>
      <c r="O82" s="186"/>
      <c r="P82" s="187"/>
      <c r="Q82" s="187"/>
      <c r="R82" s="188"/>
      <c r="S82" s="188"/>
      <c r="T82" s="185"/>
      <c r="U82" s="185"/>
      <c r="V82" s="189"/>
      <c r="W82" s="190"/>
      <c r="X82" s="191"/>
      <c r="Y82" s="186"/>
      <c r="Z82" s="192"/>
      <c r="AA82" s="97"/>
      <c r="AB82" s="193"/>
    </row>
    <row r="83" spans="1:28">
      <c r="A83" s="116"/>
      <c r="B83" s="116"/>
      <c r="C83" s="116"/>
      <c r="D83" s="3"/>
      <c r="E83" s="184"/>
      <c r="F83" s="184"/>
      <c r="G83" s="184"/>
      <c r="H83" s="184"/>
      <c r="I83" s="184"/>
      <c r="J83" s="184"/>
      <c r="K83" s="184"/>
      <c r="L83" s="184"/>
      <c r="M83" s="185"/>
      <c r="N83" s="185"/>
      <c r="O83" s="186"/>
      <c r="P83" s="187"/>
      <c r="Q83" s="187"/>
      <c r="R83" s="188"/>
      <c r="S83" s="188"/>
      <c r="T83" s="185"/>
      <c r="U83" s="185"/>
      <c r="V83" s="189"/>
      <c r="W83" s="190"/>
      <c r="X83" s="191"/>
      <c r="Y83" s="186"/>
      <c r="Z83" s="192"/>
      <c r="AA83" s="97"/>
      <c r="AB83" s="193"/>
    </row>
    <row r="84" spans="1:28">
      <c r="A84" s="116"/>
      <c r="B84" s="116"/>
      <c r="C84" s="116"/>
      <c r="D84" s="3"/>
      <c r="E84" s="184"/>
      <c r="F84" s="184"/>
      <c r="G84" s="184"/>
      <c r="H84" s="184"/>
      <c r="I84" s="184"/>
      <c r="J84" s="184"/>
      <c r="K84" s="184"/>
      <c r="L84" s="184"/>
      <c r="M84" s="185"/>
      <c r="N84" s="185"/>
      <c r="O84" s="186"/>
      <c r="P84" s="187"/>
      <c r="Q84" s="187"/>
      <c r="R84" s="188"/>
      <c r="S84" s="188"/>
      <c r="T84" s="185"/>
      <c r="U84" s="185"/>
      <c r="V84" s="189"/>
      <c r="W84" s="190"/>
      <c r="X84" s="191"/>
      <c r="Y84" s="186"/>
      <c r="Z84" s="192"/>
      <c r="AA84" s="97"/>
      <c r="AB84" s="193"/>
    </row>
    <row r="85" spans="1:28">
      <c r="A85" s="116"/>
      <c r="B85" s="116"/>
      <c r="C85" s="116"/>
      <c r="D85" s="3"/>
      <c r="E85" s="184"/>
      <c r="F85" s="184"/>
      <c r="G85" s="184"/>
      <c r="H85" s="184"/>
      <c r="I85" s="184"/>
      <c r="J85" s="184"/>
      <c r="K85" s="184"/>
      <c r="L85" s="184"/>
      <c r="M85" s="185"/>
      <c r="N85" s="185"/>
      <c r="O85" s="186"/>
      <c r="P85" s="187"/>
      <c r="Q85" s="187"/>
      <c r="R85" s="188"/>
      <c r="S85" s="188"/>
      <c r="T85" s="185"/>
      <c r="U85" s="185"/>
      <c r="V85" s="189"/>
      <c r="W85" s="190"/>
      <c r="X85" s="191"/>
      <c r="Y85" s="186"/>
      <c r="Z85" s="192"/>
      <c r="AA85" s="97"/>
      <c r="AB85" s="193"/>
    </row>
    <row r="86" spans="1:28">
      <c r="A86" s="116"/>
      <c r="B86" s="116"/>
      <c r="C86" s="116"/>
      <c r="D86" s="3"/>
      <c r="E86" s="184"/>
      <c r="F86" s="184"/>
      <c r="G86" s="184"/>
      <c r="H86" s="184"/>
      <c r="I86" s="184"/>
      <c r="J86" s="184"/>
      <c r="K86" s="184"/>
      <c r="L86" s="184"/>
      <c r="M86" s="185"/>
      <c r="N86" s="185"/>
      <c r="O86" s="186"/>
      <c r="P86" s="187"/>
      <c r="Q86" s="187"/>
      <c r="R86" s="188"/>
      <c r="S86" s="188"/>
      <c r="T86" s="185"/>
      <c r="U86" s="185"/>
      <c r="V86" s="189"/>
      <c r="W86" s="190"/>
      <c r="X86" s="191"/>
      <c r="Y86" s="186"/>
      <c r="Z86" s="192"/>
      <c r="AA86" s="97"/>
      <c r="AB86" s="193"/>
    </row>
    <row r="87" spans="1:28">
      <c r="A87" s="116"/>
      <c r="B87" s="116"/>
      <c r="C87" s="116"/>
      <c r="D87" s="3"/>
      <c r="E87" s="184"/>
      <c r="F87" s="184"/>
      <c r="G87" s="184"/>
      <c r="H87" s="184"/>
      <c r="I87" s="184"/>
      <c r="J87" s="184"/>
      <c r="K87" s="184"/>
      <c r="L87" s="184"/>
      <c r="M87" s="185"/>
      <c r="N87" s="185"/>
      <c r="O87" s="186"/>
      <c r="P87" s="187"/>
      <c r="Q87" s="187"/>
      <c r="R87" s="188"/>
      <c r="S87" s="188"/>
      <c r="T87" s="185"/>
      <c r="U87" s="185"/>
      <c r="V87" s="189"/>
      <c r="W87" s="190"/>
      <c r="X87" s="191"/>
      <c r="Y87" s="186"/>
      <c r="Z87" s="192"/>
      <c r="AA87" s="97"/>
      <c r="AB87" s="193"/>
    </row>
    <row r="88" spans="1:28">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28">
      <c r="A89" s="116"/>
      <c r="B89" s="116"/>
      <c r="C89" s="116"/>
      <c r="D89" s="3"/>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28">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28">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28">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28">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28">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28">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28">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69"/>
      <c r="B111" s="169"/>
      <c r="C111" s="169"/>
      <c r="D111" s="170"/>
      <c r="E111" s="171"/>
      <c r="F111" s="171"/>
      <c r="G111" s="171"/>
      <c r="H111" s="171"/>
      <c r="I111" s="171"/>
      <c r="J111" s="171"/>
      <c r="K111" s="171"/>
      <c r="L111" s="171"/>
      <c r="M111" s="172"/>
      <c r="N111" s="172"/>
      <c r="O111" s="173"/>
      <c r="P111" s="174"/>
      <c r="Q111" s="174"/>
      <c r="R111" s="175"/>
      <c r="S111" s="175"/>
      <c r="T111" s="172"/>
      <c r="U111" s="172"/>
      <c r="V111" s="176"/>
      <c r="W111" s="177"/>
      <c r="X111" s="178"/>
      <c r="Y111" s="173"/>
      <c r="Z111" s="179"/>
      <c r="AA111" s="180"/>
      <c r="AB111" s="181"/>
    </row>
  </sheetData>
  <sheetProtection formatCells="0" formatColumns="0" formatRows="0" insertColumns="0" insertRows="0" insertHyperlinks="0" deleteColumns="0" deleteRows="0" sort="0" autoFilter="0" pivotTables="0"/>
  <dataConsolidate/>
  <mergeCells count="26">
    <mergeCell ref="AC3:AF3"/>
    <mergeCell ref="AC1:CA1"/>
    <mergeCell ref="AG3:AJ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37">
    <cfRule type="expression" dxfId="1" priority="2">
      <formula>($B5="G")</formula>
    </cfRule>
    <cfRule type="expression" dxfId="0" priority="1">
      <formula>($AB5=1)</formula>
    </cfRule>
  </conditionalFormatting>
  <hyperlinks>
    <hyperlink ref="AC1:CA1" r:id="rId1" display="http://xlworks.net/" xr:uid="{5296EA4D-E2B5-46CD-A242-6F56697AA920}"/>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1114</v>
      </c>
      <c r="B1" s="18"/>
      <c r="C1" s="18"/>
      <c r="D1" s="18"/>
      <c r="E1" s="18"/>
      <c r="F1" s="18"/>
      <c r="G1" s="18"/>
      <c r="H1" s="18"/>
      <c r="I1" s="18"/>
      <c r="J1" s="18"/>
      <c r="K1" s="18"/>
      <c r="L1" s="245"/>
      <c r="M1" s="246"/>
      <c r="N1" s="246"/>
      <c r="O1" s="19"/>
      <c r="P1" s="19"/>
      <c r="Q1" s="19"/>
    </row>
    <row r="2" spans="1:17" s="23" customFormat="1" ht="13.8">
      <c r="A2" s="21" t="s">
        <v>1099</v>
      </c>
      <c r="B2" s="22"/>
    </row>
    <row r="3" spans="1:17" s="23" customFormat="1" ht="13.8">
      <c r="A3" s="21" t="s">
        <v>1100</v>
      </c>
      <c r="B3" s="22"/>
    </row>
    <row r="4" spans="1:17" s="23" customFormat="1" ht="13.8">
      <c r="A4" s="247"/>
      <c r="B4" s="247"/>
      <c r="C4" s="24"/>
      <c r="D4" s="25"/>
      <c r="E4" s="25"/>
      <c r="F4" s="25"/>
    </row>
    <row r="5" spans="1:17" s="31" customFormat="1" ht="13.8">
      <c r="A5" s="26"/>
      <c r="B5" s="27"/>
      <c r="C5" s="28"/>
      <c r="D5" s="29"/>
      <c r="E5" s="30"/>
      <c r="F5" s="30"/>
      <c r="G5" s="30"/>
    </row>
    <row r="6" spans="1:17" s="31" customFormat="1" ht="13.8">
      <c r="A6" s="32" t="s">
        <v>1101</v>
      </c>
      <c r="B6" s="33">
        <v>47</v>
      </c>
      <c r="C6" s="31" t="s">
        <v>1</v>
      </c>
      <c r="D6" s="244" t="s">
        <v>1102</v>
      </c>
      <c r="E6" s="244"/>
      <c r="F6" s="244"/>
      <c r="G6" s="244"/>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1103</v>
      </c>
      <c r="B9" s="33">
        <v>10</v>
      </c>
      <c r="C9" s="31" t="s">
        <v>1</v>
      </c>
      <c r="D9" s="243" t="s">
        <v>1104</v>
      </c>
      <c r="E9" s="243"/>
      <c r="F9" s="243"/>
      <c r="G9" s="243"/>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1098</v>
      </c>
      <c r="B12" s="33">
        <v>10.1</v>
      </c>
      <c r="C12" s="31" t="s">
        <v>1</v>
      </c>
      <c r="D12" s="243" t="s">
        <v>1172</v>
      </c>
      <c r="E12" s="243"/>
      <c r="F12" s="243"/>
      <c r="G12" s="243"/>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1098</v>
      </c>
      <c r="B15" s="33"/>
      <c r="C15" s="31" t="s">
        <v>1</v>
      </c>
      <c r="D15" s="243" t="s">
        <v>1105</v>
      </c>
      <c r="E15" s="243"/>
      <c r="F15" s="243"/>
      <c r="G15" s="243"/>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1106</v>
      </c>
      <c r="B18" s="55">
        <v>0.21276595744680851</v>
      </c>
      <c r="D18" s="243" t="s">
        <v>1107</v>
      </c>
      <c r="E18" s="243"/>
      <c r="F18" s="243"/>
      <c r="G18" s="243"/>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1108</v>
      </c>
      <c r="B21" s="55">
        <v>0.2148936170212766</v>
      </c>
      <c r="D21" s="243" t="s">
        <v>1109</v>
      </c>
      <c r="E21" s="243"/>
      <c r="F21" s="243"/>
      <c r="G21" s="243"/>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1110</v>
      </c>
      <c r="B24" s="65">
        <f>ACTUAL_RATE-PLANNED_RATE</f>
        <v>2.1276595744680882E-3</v>
      </c>
      <c r="D24" s="244" t="s">
        <v>1111</v>
      </c>
      <c r="E24" s="244"/>
      <c r="F24" s="244"/>
      <c r="G24" s="244"/>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3" customWidth="1"/>
    <col min="2" max="3" width="10.59765625" style="213" bestFit="1" customWidth="1"/>
    <col min="4" max="4" width="9.09765625" style="213"/>
    <col min="5" max="5" width="10.59765625" style="213" customWidth="1"/>
    <col min="6" max="16384" width="9.09765625" style="213"/>
  </cols>
  <sheetData>
    <row r="1" spans="2:6" ht="36.9" customHeight="1">
      <c r="B1" s="78" t="s">
        <v>1164</v>
      </c>
    </row>
    <row r="2" spans="2:6">
      <c r="B2" s="213" t="s">
        <v>1165</v>
      </c>
    </row>
    <row r="3" spans="2:6">
      <c r="B3" s="213" t="s">
        <v>1166</v>
      </c>
    </row>
    <row r="6" spans="2:6" ht="28.8">
      <c r="B6" s="79" t="s">
        <v>1115</v>
      </c>
      <c r="C6" s="183" t="s">
        <v>1116</v>
      </c>
      <c r="D6" s="183" t="s">
        <v>2</v>
      </c>
      <c r="E6" s="183" t="s">
        <v>1167</v>
      </c>
      <c r="F6" s="212" t="s">
        <v>1168</v>
      </c>
    </row>
    <row r="7" spans="2:6">
      <c r="B7" s="208">
        <v>43375</v>
      </c>
      <c r="C7" s="208">
        <v>43379</v>
      </c>
      <c r="D7" s="209">
        <v>1</v>
      </c>
      <c r="E7" s="209">
        <f>D7</f>
        <v>1</v>
      </c>
      <c r="F7" s="214">
        <f t="shared" ref="F7:F28" si="0">E7/$D$29</f>
        <v>3.8022813688212928E-3</v>
      </c>
    </row>
    <row r="8" spans="2:6">
      <c r="B8" s="210">
        <v>43380</v>
      </c>
      <c r="C8" s="210">
        <v>43386</v>
      </c>
      <c r="D8" s="211">
        <v>10</v>
      </c>
      <c r="E8" s="211">
        <f>E7+D8</f>
        <v>11</v>
      </c>
      <c r="F8" s="215">
        <f t="shared" si="0"/>
        <v>4.1825095057034217E-2</v>
      </c>
    </row>
    <row r="9" spans="2:6">
      <c r="B9" s="210">
        <v>43387</v>
      </c>
      <c r="C9" s="210">
        <v>43393</v>
      </c>
      <c r="D9" s="211">
        <v>15</v>
      </c>
      <c r="E9" s="211">
        <f t="shared" ref="E9:E28" si="1">E8+D9</f>
        <v>26</v>
      </c>
      <c r="F9" s="215">
        <f t="shared" si="0"/>
        <v>9.8859315589353611E-2</v>
      </c>
    </row>
    <row r="10" spans="2:6">
      <c r="B10" s="210">
        <v>43394</v>
      </c>
      <c r="C10" s="210">
        <v>43400</v>
      </c>
      <c r="D10" s="211">
        <v>10</v>
      </c>
      <c r="E10" s="211">
        <f t="shared" si="1"/>
        <v>36</v>
      </c>
      <c r="F10" s="215">
        <f t="shared" si="0"/>
        <v>0.13688212927756654</v>
      </c>
    </row>
    <row r="11" spans="2:6">
      <c r="B11" s="210">
        <v>43401</v>
      </c>
      <c r="C11" s="210">
        <v>43407</v>
      </c>
      <c r="D11" s="211">
        <v>9</v>
      </c>
      <c r="E11" s="211">
        <f t="shared" si="1"/>
        <v>45</v>
      </c>
      <c r="F11" s="215">
        <f t="shared" si="0"/>
        <v>0.17110266159695817</v>
      </c>
    </row>
    <row r="12" spans="2:6">
      <c r="B12" s="210">
        <v>43408</v>
      </c>
      <c r="C12" s="210">
        <v>43414</v>
      </c>
      <c r="D12" s="211">
        <v>12</v>
      </c>
      <c r="E12" s="211">
        <f t="shared" si="1"/>
        <v>57</v>
      </c>
      <c r="F12" s="215">
        <f t="shared" si="0"/>
        <v>0.21673003802281368</v>
      </c>
    </row>
    <row r="13" spans="2:6">
      <c r="B13" s="210">
        <v>43415</v>
      </c>
      <c r="C13" s="210">
        <v>43421</v>
      </c>
      <c r="D13" s="211">
        <v>14</v>
      </c>
      <c r="E13" s="211">
        <f t="shared" si="1"/>
        <v>71</v>
      </c>
      <c r="F13" s="215">
        <f t="shared" si="0"/>
        <v>0.26996197718631176</v>
      </c>
    </row>
    <row r="14" spans="2:6">
      <c r="B14" s="210">
        <v>43422</v>
      </c>
      <c r="C14" s="210">
        <v>43428</v>
      </c>
      <c r="D14" s="211">
        <v>7</v>
      </c>
      <c r="E14" s="211">
        <f t="shared" si="1"/>
        <v>78</v>
      </c>
      <c r="F14" s="215">
        <f t="shared" si="0"/>
        <v>0.29657794676806082</v>
      </c>
    </row>
    <row r="15" spans="2:6">
      <c r="B15" s="210">
        <v>43429</v>
      </c>
      <c r="C15" s="210">
        <v>43435</v>
      </c>
      <c r="D15" s="211">
        <v>8</v>
      </c>
      <c r="E15" s="211">
        <f t="shared" si="1"/>
        <v>86</v>
      </c>
      <c r="F15" s="215">
        <f t="shared" si="0"/>
        <v>0.3269961977186312</v>
      </c>
    </row>
    <row r="16" spans="2:6">
      <c r="B16" s="210">
        <v>43436</v>
      </c>
      <c r="C16" s="210">
        <v>43442</v>
      </c>
      <c r="D16" s="211">
        <v>18</v>
      </c>
      <c r="E16" s="211">
        <f t="shared" si="1"/>
        <v>104</v>
      </c>
      <c r="F16" s="215">
        <f t="shared" si="0"/>
        <v>0.39543726235741444</v>
      </c>
    </row>
    <row r="17" spans="2:6">
      <c r="B17" s="210">
        <v>43443</v>
      </c>
      <c r="C17" s="210">
        <v>43449</v>
      </c>
      <c r="D17" s="211">
        <v>18</v>
      </c>
      <c r="E17" s="211">
        <f t="shared" si="1"/>
        <v>122</v>
      </c>
      <c r="F17" s="215">
        <f t="shared" si="0"/>
        <v>0.46387832699619774</v>
      </c>
    </row>
    <row r="18" spans="2:6">
      <c r="B18" s="210">
        <v>43450</v>
      </c>
      <c r="C18" s="210">
        <v>43456</v>
      </c>
      <c r="D18" s="211">
        <v>17</v>
      </c>
      <c r="E18" s="211">
        <f t="shared" si="1"/>
        <v>139</v>
      </c>
      <c r="F18" s="215">
        <f t="shared" si="0"/>
        <v>0.52851711026615966</v>
      </c>
    </row>
    <row r="19" spans="2:6">
      <c r="B19" s="210">
        <v>43457</v>
      </c>
      <c r="C19" s="210">
        <v>43463</v>
      </c>
      <c r="D19" s="211">
        <v>12</v>
      </c>
      <c r="E19" s="211">
        <f t="shared" si="1"/>
        <v>151</v>
      </c>
      <c r="F19" s="215">
        <f t="shared" si="0"/>
        <v>0.57414448669201523</v>
      </c>
    </row>
    <row r="20" spans="2:6">
      <c r="B20" s="210">
        <v>43464</v>
      </c>
      <c r="C20" s="210">
        <v>43470</v>
      </c>
      <c r="D20" s="211">
        <v>14</v>
      </c>
      <c r="E20" s="211">
        <f t="shared" si="1"/>
        <v>165</v>
      </c>
      <c r="F20" s="215">
        <f t="shared" si="0"/>
        <v>0.62737642585551334</v>
      </c>
    </row>
    <row r="21" spans="2:6">
      <c r="B21" s="210">
        <v>43471</v>
      </c>
      <c r="C21" s="210">
        <v>43477</v>
      </c>
      <c r="D21" s="211">
        <v>21</v>
      </c>
      <c r="E21" s="211">
        <f t="shared" si="1"/>
        <v>186</v>
      </c>
      <c r="F21" s="215">
        <f t="shared" si="0"/>
        <v>0.70722433460076051</v>
      </c>
    </row>
    <row r="22" spans="2:6">
      <c r="B22" s="210">
        <v>43478</v>
      </c>
      <c r="C22" s="210">
        <v>43484</v>
      </c>
      <c r="D22" s="211">
        <v>25</v>
      </c>
      <c r="E22" s="211">
        <f t="shared" si="1"/>
        <v>211</v>
      </c>
      <c r="F22" s="215">
        <f t="shared" si="0"/>
        <v>0.80228136882129275</v>
      </c>
    </row>
    <row r="23" spans="2:6">
      <c r="B23" s="210">
        <v>43485</v>
      </c>
      <c r="C23" s="210">
        <v>43491</v>
      </c>
      <c r="D23" s="211">
        <v>25</v>
      </c>
      <c r="E23" s="211">
        <f t="shared" si="1"/>
        <v>236</v>
      </c>
      <c r="F23" s="215">
        <f t="shared" si="0"/>
        <v>0.89733840304182511</v>
      </c>
    </row>
    <row r="24" spans="2:6">
      <c r="B24" s="210">
        <v>43492</v>
      </c>
      <c r="C24" s="210">
        <v>43498</v>
      </c>
      <c r="D24" s="211">
        <v>8</v>
      </c>
      <c r="E24" s="211">
        <f t="shared" si="1"/>
        <v>244</v>
      </c>
      <c r="F24" s="215">
        <f t="shared" si="0"/>
        <v>0.92775665399239549</v>
      </c>
    </row>
    <row r="25" spans="2:6">
      <c r="B25" s="210">
        <v>43499</v>
      </c>
      <c r="C25" s="210">
        <v>43505</v>
      </c>
      <c r="D25" s="211">
        <v>6</v>
      </c>
      <c r="E25" s="211">
        <f t="shared" si="1"/>
        <v>250</v>
      </c>
      <c r="F25" s="215">
        <f t="shared" si="0"/>
        <v>0.95057034220532322</v>
      </c>
    </row>
    <row r="26" spans="2:6">
      <c r="B26" s="210">
        <v>43506</v>
      </c>
      <c r="C26" s="210">
        <v>43512</v>
      </c>
      <c r="D26" s="211">
        <v>4</v>
      </c>
      <c r="E26" s="211">
        <f t="shared" si="1"/>
        <v>254</v>
      </c>
      <c r="F26" s="215">
        <f t="shared" si="0"/>
        <v>0.96577946768060841</v>
      </c>
    </row>
    <row r="27" spans="2:6">
      <c r="B27" s="210">
        <v>43513</v>
      </c>
      <c r="C27" s="210">
        <v>43519</v>
      </c>
      <c r="D27" s="211">
        <v>5</v>
      </c>
      <c r="E27" s="211">
        <f t="shared" si="1"/>
        <v>259</v>
      </c>
      <c r="F27" s="215">
        <f t="shared" si="0"/>
        <v>0.98479087452471481</v>
      </c>
    </row>
    <row r="28" spans="2:6">
      <c r="B28" s="210">
        <v>43520</v>
      </c>
      <c r="C28" s="210">
        <v>43526</v>
      </c>
      <c r="D28" s="211">
        <v>4</v>
      </c>
      <c r="E28" s="211">
        <f t="shared" si="1"/>
        <v>263</v>
      </c>
      <c r="F28" s="215">
        <f t="shared" si="0"/>
        <v>1</v>
      </c>
    </row>
    <row r="29" spans="2:6">
      <c r="C29" s="213" t="s">
        <v>4</v>
      </c>
      <c r="D29" s="213">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1118</v>
      </c>
      <c r="B1" s="17"/>
      <c r="C1" s="17"/>
      <c r="D1" s="17"/>
      <c r="E1" s="17"/>
      <c r="F1" s="17"/>
      <c r="G1" s="17"/>
      <c r="H1" s="17"/>
    </row>
    <row r="2" spans="1:9" s="81" customFormat="1" ht="78.75" customHeight="1">
      <c r="A2" s="248" t="s">
        <v>1119</v>
      </c>
      <c r="B2" s="248"/>
      <c r="C2" s="248"/>
      <c r="D2" s="248"/>
      <c r="E2" s="248"/>
      <c r="F2" s="248"/>
      <c r="G2" s="248"/>
      <c r="H2" s="248"/>
    </row>
    <row r="3" spans="1:9" s="81" customFormat="1" ht="24.75" customHeight="1">
      <c r="A3" s="249" t="s">
        <v>1120</v>
      </c>
      <c r="B3" s="249"/>
      <c r="D3" s="249" t="s">
        <v>1121</v>
      </c>
      <c r="E3" s="249"/>
      <c r="G3" s="249" t="s">
        <v>1122</v>
      </c>
      <c r="H3" s="249"/>
    </row>
    <row r="4" spans="1:9" s="83" customFormat="1" ht="19.5" customHeight="1">
      <c r="A4" s="82" t="s">
        <v>1123</v>
      </c>
      <c r="B4" s="82" t="s">
        <v>1125</v>
      </c>
      <c r="D4" s="82" t="s">
        <v>1124</v>
      </c>
      <c r="E4" s="82" t="s">
        <v>1126</v>
      </c>
      <c r="G4" s="82" t="s">
        <v>1124</v>
      </c>
      <c r="H4" s="82" t="s">
        <v>1125</v>
      </c>
    </row>
    <row r="5" spans="1:9" ht="17.399999999999999">
      <c r="A5" s="118" t="s">
        <v>1059</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1060</v>
      </c>
      <c r="B6" s="119">
        <v>43146</v>
      </c>
      <c r="C6" s="86" t="str">
        <f t="shared" si="0"/>
        <v>(목)</v>
      </c>
      <c r="D6" s="84"/>
      <c r="E6" s="85"/>
      <c r="F6" s="86" t="str">
        <f t="shared" si="1"/>
        <v/>
      </c>
      <c r="G6" s="84"/>
      <c r="H6" s="85"/>
      <c r="I6" s="86" t="str">
        <f t="shared" si="2"/>
        <v/>
      </c>
    </row>
    <row r="7" spans="1:9" ht="17.399999999999999">
      <c r="A7" s="118" t="s">
        <v>1061</v>
      </c>
      <c r="B7" s="119">
        <v>43147</v>
      </c>
      <c r="C7" s="86" t="str">
        <f t="shared" si="0"/>
        <v>(금)</v>
      </c>
      <c r="D7" s="84"/>
      <c r="E7" s="85"/>
      <c r="F7" s="86" t="str">
        <f t="shared" si="1"/>
        <v/>
      </c>
      <c r="G7" s="84"/>
      <c r="H7" s="85"/>
      <c r="I7" s="86" t="str">
        <f t="shared" si="2"/>
        <v/>
      </c>
    </row>
    <row r="8" spans="1:9" ht="17.399999999999999">
      <c r="A8" s="118" t="s">
        <v>1062</v>
      </c>
      <c r="B8" s="119">
        <v>43160</v>
      </c>
      <c r="C8" s="86" t="str">
        <f t="shared" si="0"/>
        <v>(목)</v>
      </c>
      <c r="D8" s="84"/>
      <c r="E8" s="85"/>
      <c r="F8" s="86" t="str">
        <f t="shared" si="1"/>
        <v/>
      </c>
      <c r="G8" s="84"/>
      <c r="H8" s="85"/>
      <c r="I8" s="86" t="str">
        <f t="shared" si="2"/>
        <v/>
      </c>
    </row>
    <row r="9" spans="1:9" ht="17.399999999999999">
      <c r="A9" s="118" t="s">
        <v>915</v>
      </c>
      <c r="B9" s="119">
        <v>43227</v>
      </c>
      <c r="C9" s="86" t="str">
        <f t="shared" si="0"/>
        <v>(월)</v>
      </c>
      <c r="D9" s="84"/>
      <c r="E9" s="85"/>
      <c r="F9" s="86" t="str">
        <f t="shared" si="1"/>
        <v/>
      </c>
      <c r="G9" s="84"/>
      <c r="H9" s="85"/>
      <c r="I9" s="86" t="str">
        <f t="shared" si="2"/>
        <v/>
      </c>
    </row>
    <row r="10" spans="1:9" ht="17.399999999999999">
      <c r="A10" s="118" t="s">
        <v>916</v>
      </c>
      <c r="B10" s="119">
        <v>43242</v>
      </c>
      <c r="C10" s="86" t="str">
        <f t="shared" si="0"/>
        <v>(화)</v>
      </c>
      <c r="D10" s="84"/>
      <c r="E10" s="85"/>
      <c r="F10" s="86" t="str">
        <f t="shared" si="1"/>
        <v/>
      </c>
      <c r="G10" s="84"/>
      <c r="H10" s="85"/>
      <c r="I10" s="86" t="str">
        <f t="shared" si="2"/>
        <v/>
      </c>
    </row>
    <row r="11" spans="1:9" ht="17.399999999999999">
      <c r="A11" s="118" t="s">
        <v>917</v>
      </c>
      <c r="B11" s="119">
        <v>43257</v>
      </c>
      <c r="C11" s="86" t="str">
        <f t="shared" si="0"/>
        <v>(수)</v>
      </c>
      <c r="D11" s="84"/>
      <c r="E11" s="85"/>
      <c r="F11" s="86" t="str">
        <f t="shared" si="1"/>
        <v/>
      </c>
      <c r="G11" s="84"/>
      <c r="H11" s="85"/>
      <c r="I11" s="86" t="str">
        <f t="shared" si="2"/>
        <v/>
      </c>
    </row>
    <row r="12" spans="1:9" ht="17.399999999999999">
      <c r="A12" s="118" t="s">
        <v>918</v>
      </c>
      <c r="B12" s="119">
        <v>43327</v>
      </c>
      <c r="C12" s="86" t="str">
        <f t="shared" si="0"/>
        <v>(수)</v>
      </c>
      <c r="D12" s="84"/>
      <c r="E12" s="85"/>
      <c r="F12" s="86" t="str">
        <f t="shared" si="1"/>
        <v/>
      </c>
      <c r="G12" s="84"/>
      <c r="H12" s="85"/>
      <c r="I12" s="86" t="str">
        <f t="shared" si="2"/>
        <v/>
      </c>
    </row>
    <row r="13" spans="1:9" ht="17.399999999999999">
      <c r="A13" s="118" t="s">
        <v>919</v>
      </c>
      <c r="B13" s="119">
        <v>43367</v>
      </c>
      <c r="C13" s="86" t="str">
        <f t="shared" si="0"/>
        <v>(월)</v>
      </c>
      <c r="D13" s="84"/>
      <c r="E13" s="85"/>
      <c r="F13" s="86" t="str">
        <f t="shared" si="1"/>
        <v/>
      </c>
      <c r="G13" s="84"/>
      <c r="H13" s="85"/>
      <c r="I13" s="86" t="str">
        <f t="shared" si="2"/>
        <v/>
      </c>
    </row>
    <row r="14" spans="1:9" ht="17.399999999999999">
      <c r="A14" s="118" t="s">
        <v>920</v>
      </c>
      <c r="B14" s="119">
        <v>43368</v>
      </c>
      <c r="C14" s="86" t="str">
        <f t="shared" si="0"/>
        <v>(화)</v>
      </c>
      <c r="D14" s="84"/>
      <c r="E14" s="85"/>
      <c r="F14" s="86" t="str">
        <f t="shared" si="1"/>
        <v/>
      </c>
      <c r="G14" s="84"/>
      <c r="H14" s="85"/>
      <c r="I14" s="86" t="str">
        <f t="shared" si="2"/>
        <v/>
      </c>
    </row>
    <row r="15" spans="1:9" ht="17.399999999999999">
      <c r="A15" s="118" t="s">
        <v>921</v>
      </c>
      <c r="B15" s="119">
        <v>43369</v>
      </c>
      <c r="C15" s="86" t="str">
        <f t="shared" si="0"/>
        <v>(수)</v>
      </c>
      <c r="D15" s="84"/>
      <c r="E15" s="85"/>
      <c r="F15" s="86" t="str">
        <f t="shared" si="1"/>
        <v/>
      </c>
      <c r="G15" s="84"/>
      <c r="H15" s="85"/>
      <c r="I15" s="86" t="str">
        <f t="shared" si="2"/>
        <v/>
      </c>
    </row>
    <row r="16" spans="1:9" ht="17.399999999999999">
      <c r="A16" s="118" t="s">
        <v>922</v>
      </c>
      <c r="B16" s="119">
        <v>43376</v>
      </c>
      <c r="C16" s="86" t="str">
        <f t="shared" si="0"/>
        <v>(수)</v>
      </c>
      <c r="D16" s="84"/>
      <c r="E16" s="85"/>
      <c r="F16" s="86" t="str">
        <f t="shared" si="1"/>
        <v/>
      </c>
      <c r="G16" s="84"/>
      <c r="H16" s="85"/>
      <c r="I16" s="86" t="str">
        <f t="shared" si="2"/>
        <v/>
      </c>
    </row>
    <row r="17" spans="1:10" ht="17.399999999999999">
      <c r="A17" s="118" t="s">
        <v>923</v>
      </c>
      <c r="B17" s="119">
        <v>43382</v>
      </c>
      <c r="C17" s="86" t="str">
        <f t="shared" si="0"/>
        <v>(화)</v>
      </c>
      <c r="D17" s="84"/>
      <c r="E17" s="85"/>
      <c r="F17" s="86" t="str">
        <f t="shared" si="1"/>
        <v/>
      </c>
      <c r="G17" s="84"/>
      <c r="H17" s="85"/>
      <c r="I17" s="86" t="str">
        <f t="shared" si="2"/>
        <v/>
      </c>
    </row>
    <row r="18" spans="1:10" ht="17.399999999999999">
      <c r="A18" s="118" t="s">
        <v>924</v>
      </c>
      <c r="B18" s="119">
        <v>43459</v>
      </c>
      <c r="C18" s="86" t="str">
        <f t="shared" si="0"/>
        <v>(화)</v>
      </c>
      <c r="D18" s="84"/>
      <c r="E18" s="85"/>
      <c r="F18" s="86" t="str">
        <f t="shared" si="1"/>
        <v/>
      </c>
      <c r="G18" s="84"/>
      <c r="H18" s="85"/>
      <c r="I18" s="86" t="str">
        <f t="shared" si="2"/>
        <v/>
      </c>
    </row>
    <row r="19" spans="1:10" ht="17.399999999999999">
      <c r="A19" s="118" t="s">
        <v>1063</v>
      </c>
      <c r="B19" s="119">
        <v>43466</v>
      </c>
      <c r="C19" s="86" t="str">
        <f t="shared" si="0"/>
        <v>(화)</v>
      </c>
      <c r="D19" s="84"/>
      <c r="E19" s="85"/>
      <c r="F19" s="86" t="str">
        <f t="shared" si="1"/>
        <v/>
      </c>
      <c r="G19" s="84"/>
      <c r="H19" s="85"/>
      <c r="I19" s="86" t="str">
        <f t="shared" si="2"/>
        <v/>
      </c>
      <c r="J19" s="87"/>
    </row>
    <row r="20" spans="1:10" ht="17.399999999999999">
      <c r="A20" s="118" t="s">
        <v>1064</v>
      </c>
      <c r="B20" s="119">
        <v>43500</v>
      </c>
      <c r="C20" s="86" t="str">
        <f t="shared" si="0"/>
        <v>(월)</v>
      </c>
      <c r="D20" s="84"/>
      <c r="E20" s="85"/>
      <c r="F20" s="86" t="str">
        <f t="shared" si="1"/>
        <v/>
      </c>
      <c r="G20" s="84"/>
      <c r="H20" s="85"/>
      <c r="I20" s="86" t="str">
        <f t="shared" si="2"/>
        <v/>
      </c>
      <c r="J20" s="87"/>
    </row>
    <row r="21" spans="1:10" ht="17.399999999999999">
      <c r="A21" s="118" t="s">
        <v>1065</v>
      </c>
      <c r="B21" s="119">
        <v>43501</v>
      </c>
      <c r="C21" s="86" t="str">
        <f t="shared" si="0"/>
        <v>(화)</v>
      </c>
      <c r="D21" s="84"/>
      <c r="E21" s="85"/>
      <c r="F21" s="86" t="str">
        <f t="shared" si="1"/>
        <v/>
      </c>
      <c r="G21" s="84"/>
      <c r="H21" s="85"/>
      <c r="I21" s="86" t="str">
        <f t="shared" si="2"/>
        <v/>
      </c>
    </row>
    <row r="22" spans="1:10" ht="17.399999999999999">
      <c r="A22" s="118" t="s">
        <v>1064</v>
      </c>
      <c r="B22" s="119">
        <v>43502</v>
      </c>
      <c r="C22" s="86" t="str">
        <f t="shared" si="0"/>
        <v>(수)</v>
      </c>
      <c r="D22" s="84"/>
      <c r="E22" s="85"/>
      <c r="F22" s="86" t="str">
        <f t="shared" si="1"/>
        <v/>
      </c>
      <c r="G22" s="84"/>
      <c r="H22" s="85"/>
      <c r="I22" s="86" t="str">
        <f t="shared" si="2"/>
        <v/>
      </c>
    </row>
    <row r="23" spans="1:10" ht="17.399999999999999">
      <c r="A23" s="118" t="s">
        <v>1066</v>
      </c>
      <c r="B23" s="119">
        <v>43525</v>
      </c>
      <c r="C23" s="86" t="str">
        <f t="shared" si="0"/>
        <v>(금)</v>
      </c>
      <c r="D23" s="84"/>
      <c r="E23" s="85"/>
      <c r="F23" s="86" t="str">
        <f t="shared" si="1"/>
        <v/>
      </c>
      <c r="G23" s="84"/>
      <c r="H23" s="85"/>
      <c r="I23" s="86" t="str">
        <f t="shared" si="2"/>
        <v/>
      </c>
    </row>
    <row r="24" spans="1:10" ht="17.399999999999999">
      <c r="A24" s="118" t="s">
        <v>1067</v>
      </c>
      <c r="B24" s="119">
        <v>43591</v>
      </c>
      <c r="C24" s="86" t="str">
        <f t="shared" si="0"/>
        <v>(월)</v>
      </c>
      <c r="D24" s="84"/>
      <c r="E24" s="85"/>
      <c r="F24" s="86" t="str">
        <f t="shared" si="1"/>
        <v/>
      </c>
      <c r="G24" s="84"/>
      <c r="H24" s="85"/>
      <c r="I24" s="86" t="str">
        <f t="shared" si="2"/>
        <v/>
      </c>
    </row>
    <row r="25" spans="1:10" ht="17.399999999999999">
      <c r="A25" s="118" t="s">
        <v>1068</v>
      </c>
      <c r="B25" s="119">
        <v>43622</v>
      </c>
      <c r="C25" s="86" t="str">
        <f t="shared" si="0"/>
        <v>(목)</v>
      </c>
      <c r="D25" s="84"/>
      <c r="E25" s="85"/>
      <c r="F25" s="86" t="str">
        <f t="shared" si="1"/>
        <v/>
      </c>
      <c r="G25" s="84"/>
      <c r="H25" s="85"/>
      <c r="I25" s="86" t="str">
        <f t="shared" si="2"/>
        <v/>
      </c>
    </row>
    <row r="26" spans="1:10" ht="17.399999999999999">
      <c r="A26" s="118" t="s">
        <v>1069</v>
      </c>
      <c r="B26" s="119">
        <v>43692</v>
      </c>
      <c r="C26" s="86" t="str">
        <f t="shared" si="0"/>
        <v>(목)</v>
      </c>
      <c r="D26" s="84"/>
      <c r="E26" s="85"/>
      <c r="F26" s="86" t="str">
        <f t="shared" si="1"/>
        <v/>
      </c>
      <c r="G26" s="84"/>
      <c r="H26" s="85"/>
      <c r="I26" s="86" t="str">
        <f t="shared" si="2"/>
        <v/>
      </c>
    </row>
    <row r="27" spans="1:10" ht="17.399999999999999">
      <c r="A27" s="118" t="s">
        <v>1070</v>
      </c>
      <c r="B27" s="119">
        <v>43720</v>
      </c>
      <c r="C27" s="86" t="str">
        <f t="shared" si="0"/>
        <v>(목)</v>
      </c>
      <c r="D27" s="84"/>
      <c r="E27" s="85"/>
      <c r="F27" s="86" t="str">
        <f t="shared" si="1"/>
        <v/>
      </c>
      <c r="G27" s="84"/>
      <c r="H27" s="85"/>
      <c r="I27" s="86" t="str">
        <f t="shared" si="2"/>
        <v/>
      </c>
    </row>
    <row r="28" spans="1:10" ht="17.399999999999999">
      <c r="A28" s="118" t="s">
        <v>1071</v>
      </c>
      <c r="B28" s="119">
        <v>43721</v>
      </c>
      <c r="C28" s="86" t="str">
        <f t="shared" si="0"/>
        <v>(금)</v>
      </c>
      <c r="D28" s="84"/>
      <c r="E28" s="85"/>
      <c r="F28" s="86" t="str">
        <f t="shared" si="1"/>
        <v/>
      </c>
      <c r="G28" s="84"/>
      <c r="H28" s="85"/>
      <c r="I28" s="86" t="str">
        <f t="shared" si="2"/>
        <v/>
      </c>
    </row>
    <row r="29" spans="1:10" ht="17.399999999999999">
      <c r="A29" s="118" t="s">
        <v>1072</v>
      </c>
      <c r="B29" s="119">
        <v>43741</v>
      </c>
      <c r="C29" s="86" t="str">
        <f t="shared" si="0"/>
        <v>(목)</v>
      </c>
      <c r="D29" s="84"/>
      <c r="E29" s="85"/>
      <c r="F29" s="86" t="str">
        <f t="shared" si="1"/>
        <v/>
      </c>
      <c r="G29" s="84"/>
      <c r="H29" s="85"/>
      <c r="I29" s="86" t="str">
        <f t="shared" si="2"/>
        <v/>
      </c>
    </row>
    <row r="30" spans="1:10" ht="17.399999999999999">
      <c r="A30" s="118" t="s">
        <v>1073</v>
      </c>
      <c r="B30" s="119">
        <v>43747</v>
      </c>
      <c r="C30" s="86" t="str">
        <f t="shared" si="0"/>
        <v>(수)</v>
      </c>
      <c r="D30" s="84"/>
      <c r="E30" s="85"/>
      <c r="F30" s="86" t="str">
        <f t="shared" si="1"/>
        <v/>
      </c>
      <c r="G30" s="84"/>
      <c r="H30" s="85"/>
      <c r="I30" s="86" t="str">
        <f t="shared" si="2"/>
        <v/>
      </c>
    </row>
    <row r="31" spans="1:10" ht="17.399999999999999">
      <c r="A31" s="118" t="s">
        <v>1074</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1127</v>
      </c>
      <c r="D305" s="86" t="s">
        <v>1127</v>
      </c>
      <c r="G305" s="86" t="s">
        <v>1127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refus</cp:lastModifiedBy>
  <dcterms:created xsi:type="dcterms:W3CDTF">2018-02-18T09:45:14Z</dcterms:created>
  <dcterms:modified xsi:type="dcterms:W3CDTF">2018-11-14T07:52:05Z</dcterms:modified>
</cp:coreProperties>
</file>